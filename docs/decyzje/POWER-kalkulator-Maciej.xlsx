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ki" sheetId="1" state="visible" r:id="rId1"/>
    <sheet xmlns:r="http://schemas.openxmlformats.org/officeDocument/2006/relationships" name="Kalkulator" sheetId="2" state="visible" r:id="rId2"/>
    <sheet xmlns:r="http://schemas.openxmlformats.org/officeDocument/2006/relationships" name="Test skok epoki" sheetId="3" state="visible" r:id="rId3"/>
    <sheet xmlns:r="http://schemas.openxmlformats.org/officeDocument/2006/relationships" name="Scenariusze" sheetId="4" state="visible" r:id="rId4"/>
    <sheet xmlns:r="http://schemas.openxmlformats.org/officeDocument/2006/relationships" name="Stary model wa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E0B24A"/>
    </font>
    <font>
      <i val="1"/>
      <color rgb="00336633"/>
    </font>
    <font>
      <b val="1"/>
      <sz val="14"/>
    </font>
    <font>
      <i val="1"/>
      <color rgb="00553333"/>
    </font>
    <font>
      <b val="1"/>
    </font>
    <font>
      <b val="1"/>
      <sz val="13"/>
    </font>
    <font>
      <b val="1"/>
      <color rgb="00884444"/>
    </font>
  </fonts>
  <fills count="9">
    <fill>
      <patternFill/>
    </fill>
    <fill>
      <patternFill patternType="gray125"/>
    </fill>
    <fill>
      <patternFill patternType="solid">
        <fgColor rgb="001E2430"/>
      </patternFill>
    </fill>
    <fill>
      <patternFill patternType="solid">
        <fgColor rgb="00FFF8E0"/>
      </patternFill>
    </fill>
    <fill>
      <patternFill patternType="solid">
        <fgColor rgb="00E8EEF8"/>
      </patternFill>
    </fill>
    <fill>
      <patternFill patternType="solid">
        <fgColor rgb="00F0F0F0"/>
      </patternFill>
    </fill>
    <fill>
      <patternFill patternType="solid">
        <fgColor rgb="00E8F8E8"/>
      </patternFill>
    </fill>
    <fill>
      <patternFill patternType="solid">
        <fgColor rgb="00E8E8E8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7" borderId="0" pivotButton="0" quotePrefix="0" xfId="0"/>
    <xf numFmtId="0" fontId="0" fillId="4" borderId="1" pivotButton="0" quotePrefix="0" xfId="0"/>
    <xf numFmtId="3" fontId="0" fillId="5" borderId="1" pivotButton="0" quotePrefix="0" xfId="0"/>
    <xf numFmtId="1" fontId="0" fillId="6" borderId="1" pivotButton="0" quotePrefix="0" xfId="0"/>
    <xf numFmtId="1" fontId="1" fillId="2" borderId="1" applyAlignment="1" pivotButton="0" quotePrefix="0" xfId="0">
      <alignment vertical="center" wrapText="1"/>
    </xf>
    <xf numFmtId="0" fontId="0" fillId="8" borderId="1" pivotButton="0" quotePrefix="0" xfId="0"/>
    <xf numFmtId="164" fontId="0" fillId="0" borderId="0" pivotButton="0" quotePrefix="0" xfId="0"/>
    <xf numFmtId="0" fontId="0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Epoka imperium</t>
        </is>
      </c>
      <c r="B1" s="1" t="inlineStr">
        <is>
          <t>Ludzi na 1 ludka</t>
        </is>
      </c>
      <c r="C1" s="1" t="inlineStr">
        <is>
          <t>Max rekrutów na 1 ludka</t>
        </is>
      </c>
      <c r="D1" s="1" t="inlineStr">
        <is>
          <t>Koszt werbu 1 jednostki</t>
        </is>
      </c>
      <c r="F1" s="2" t="inlineStr">
        <is>
          <t>Ekw. jednostek z puli = rekruci_bieżący ÷ koszt werbu (neutralne względem epoki przy tym samym % puli).</t>
        </is>
      </c>
    </row>
    <row r="2">
      <c r="A2" t="n">
        <v>1</v>
      </c>
      <c r="B2" t="n">
        <v>10000</v>
      </c>
      <c r="C2" t="n">
        <v>1000</v>
      </c>
      <c r="D2" t="n">
        <v>100</v>
      </c>
    </row>
    <row r="3">
      <c r="A3" t="n">
        <v>2</v>
      </c>
      <c r="B3" t="n">
        <v>20000</v>
      </c>
      <c r="C3" t="n">
        <v>2000</v>
      </c>
      <c r="D3" t="n">
        <v>200</v>
      </c>
    </row>
    <row r="4">
      <c r="A4" t="n">
        <v>3</v>
      </c>
      <c r="B4" t="n">
        <v>40000</v>
      </c>
      <c r="C4" t="n">
        <v>4000</v>
      </c>
      <c r="D4" t="n">
        <v>400</v>
      </c>
    </row>
    <row r="5">
      <c r="A5" t="n">
        <v>4</v>
      </c>
      <c r="B5" t="n">
        <v>80000</v>
      </c>
      <c r="C5" t="n">
        <v>8000</v>
      </c>
      <c r="D5" t="n">
        <v>800</v>
      </c>
    </row>
    <row r="6">
      <c r="A6" t="n">
        <v>5</v>
      </c>
      <c r="B6" t="n">
        <v>160000</v>
      </c>
      <c r="C6" t="n">
        <v>16000</v>
      </c>
      <c r="D6" t="n">
        <v>1600</v>
      </c>
    </row>
    <row r="7">
      <c r="A7" t="n">
        <v>6</v>
      </c>
      <c r="B7" t="n">
        <v>320000</v>
      </c>
      <c r="C7" t="n">
        <v>32000</v>
      </c>
      <c r="D7" t="n">
        <v>3200</v>
      </c>
    </row>
    <row r="8">
      <c r="A8" t="n">
        <v>7</v>
      </c>
      <c r="B8" t="n">
        <v>640000</v>
      </c>
      <c r="C8" t="n">
        <v>64000</v>
      </c>
      <c r="D8" t="n">
        <v>6400</v>
      </c>
    </row>
    <row r="9">
      <c r="A9" t="n">
        <v>8</v>
      </c>
      <c r="B9" t="n">
        <v>1200000</v>
      </c>
      <c r="C9" t="n">
        <v>120000</v>
      </c>
      <c r="D9" t="n">
        <v>12000</v>
      </c>
    </row>
    <row r="10">
      <c r="A10" t="n">
        <v>9</v>
      </c>
      <c r="B10" t="n">
        <v>2400000</v>
      </c>
      <c r="C10" t="n">
        <v>240000</v>
      </c>
      <c r="D10" t="n">
        <v>24000</v>
      </c>
    </row>
    <row r="11">
      <c r="A11" t="n">
        <v>10</v>
      </c>
      <c r="B11" t="n">
        <v>4800000</v>
      </c>
      <c r="C11" t="n">
        <v>480000</v>
      </c>
      <c r="D11" t="n">
        <v>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48" customWidth="1" min="6" max="6"/>
    <col width="10" customWidth="1" min="7" max="7"/>
  </cols>
  <sheetData>
    <row r="1">
      <c r="A1" s="3" t="inlineStr">
        <is>
          <t>POWER — kalkulator P-A (The Game · Maciej)</t>
        </is>
      </c>
    </row>
    <row r="2">
      <c r="A2" s="4" t="inlineStr">
        <is>
          <t>BEZ × epoki. Ludność = LUDKI. Rekruci = EKW. JEDNOSTEK (pula ÷ koszt werbu w epoce) — skaluje z grą, bez sufitu 100. Żółte wpisy · zielone współczynniki · niebieskie NOWE</t>
        </is>
      </c>
    </row>
    <row r="3">
      <c r="A3" s="5" t="inlineStr">
        <is>
          <t>WEJŚCIA (scenariusz)</t>
        </is>
      </c>
    </row>
    <row r="4">
      <c r="A4" t="inlineStr">
        <is>
          <t>Epoka imperium (1–10) — koszt werbu + INFO</t>
        </is>
      </c>
      <c r="B4" s="6" t="n">
        <v>1</v>
      </c>
      <c r="D4" t="inlineStr">
        <is>
          <t>Power (= suma, bez × epoka)</t>
        </is>
      </c>
      <c r="E4" s="7">
        <f>E5</f>
        <v/>
      </c>
    </row>
    <row r="5">
      <c r="A5" t="inlineStr">
        <is>
          <t>Suma ludków (sloty populacji, wszystkie miasta)</t>
        </is>
      </c>
      <c r="B5" s="6" t="n">
        <v>100</v>
      </c>
      <c r="D5" t="inlineStr">
        <is>
          <t>powerBase (suma składników)</t>
        </is>
      </c>
      <c r="E5">
        <f>SUM(D19:D27)</f>
        <v/>
      </c>
    </row>
    <row r="6">
      <c r="A6" t="inlineStr">
        <is>
          <t>Jednostki na mapie</t>
        </is>
      </c>
      <c r="B6" s="6" t="n">
        <v>10</v>
      </c>
      <c r="D6" t="inlineStr">
        <is>
          <t>Mnożnik epoki (ODRZUCONE)</t>
        </is>
      </c>
      <c r="E6" s="8" t="n">
        <v>1</v>
      </c>
      <c r="F6" t="inlineStr">
        <is>
          <t>Było ×E — zaburzało balans (skok epoki = ×2 Power)</t>
        </is>
      </c>
    </row>
    <row r="7">
      <c r="A7" t="inlineStr">
        <is>
          <t>Wygrane bitwy (łącznie)</t>
        </is>
      </c>
      <c r="B7" s="6" t="n">
        <v>10</v>
      </c>
    </row>
    <row r="8">
      <c r="A8" t="inlineStr">
        <is>
          <t>Rekruci — bieżąca pula</t>
        </is>
      </c>
      <c r="B8" s="6" t="n">
        <v>8000</v>
      </c>
    </row>
    <row r="9">
      <c r="A9" t="inlineStr">
        <is>
          <t>Miasta</t>
        </is>
      </c>
      <c r="B9" s="6" t="n">
        <v>10</v>
      </c>
    </row>
    <row r="10">
      <c r="A10" t="inlineStr">
        <is>
          <t>Heksy terytorium</t>
        </is>
      </c>
      <c r="B10" s="6" t="n">
        <v>500</v>
      </c>
    </row>
    <row r="11">
      <c r="A11" t="inlineStr">
        <is>
          <t>Budynki wybudowane</t>
        </is>
      </c>
      <c r="B11" s="6" t="n">
        <v>60</v>
      </c>
    </row>
    <row r="12">
      <c r="A12" t="inlineStr">
        <is>
          <t>Odkrycia / tech zbadane</t>
        </is>
      </c>
      <c r="B12" s="9" t="n">
        <v>16</v>
      </c>
    </row>
    <row r="13">
      <c r="A13" t="inlineStr">
        <is>
          <t>Ulepszenia w terenie</t>
        </is>
      </c>
      <c r="B13" s="9" t="n">
        <v>50</v>
      </c>
    </row>
    <row r="14">
      <c r="A14" t="inlineStr">
        <is>
          <t>Ludność absolutna (INFO — nie w Power)</t>
        </is>
      </c>
      <c r="B14" s="10">
        <f>B5*VLOOKUP(B4,Epoki!$A$2:$B$11,2,FALSE)</f>
        <v/>
      </c>
    </row>
    <row r="15">
      <c r="A15" t="inlineStr">
        <is>
          <t>Max rekrutów imperium (INFO)</t>
        </is>
      </c>
      <c r="B15" s="10">
        <f>B5*VLOOKUP(B4,Epoki!$A$2:$C$11,3,FALSE)</f>
        <v/>
      </c>
    </row>
    <row r="16">
      <c r="A16" t="inlineStr">
        <is>
          <t>Koszt werbu 1 jednostki (INFO)</t>
        </is>
      </c>
      <c r="B16" s="10">
        <f>VLOOKUP(B4,Epoki!$A$2:$D$11,4,FALSE)</f>
        <v/>
      </c>
    </row>
    <row r="17">
      <c r="A17" t="inlineStr">
        <is>
          <t>Ekwiwalent jednostek z puli (→ Power)</t>
        </is>
      </c>
      <c r="B17" s="11">
        <f>IF(B16=0,0,FLOOR(B8/B16,1))</f>
        <v/>
      </c>
    </row>
    <row r="18">
      <c r="A18" s="1" t="inlineStr">
        <is>
          <t>Składnik</t>
        </is>
      </c>
      <c r="B18" s="12" t="inlineStr">
        <is>
          <t>Surowa liczba</t>
        </is>
      </c>
      <c r="C18" s="1" t="inlineStr">
        <is>
          <t>Współczynnik</t>
        </is>
      </c>
      <c r="D18" s="1" t="inlineStr">
        <is>
          <t>Suma punktów</t>
        </is>
      </c>
      <c r="E18" s="1" t="inlineStr">
        <is>
          <t>Waga stary model %</t>
        </is>
      </c>
      <c r="F18" s="1" t="inlineStr">
        <is>
          <t>Równoważnik / uwagi</t>
        </is>
      </c>
      <c r="G18" s="1" t="inlineStr">
        <is>
          <t>% bazy</t>
        </is>
      </c>
    </row>
    <row r="19">
      <c r="A19" t="inlineStr">
        <is>
          <t>Armia (jednostki)</t>
        </is>
      </c>
      <c r="B19">
        <f>B6</f>
        <v/>
      </c>
      <c r="C19" s="13" t="n">
        <v>25</v>
      </c>
      <c r="D19">
        <f>B19*C19</f>
        <v/>
      </c>
      <c r="E19" t="inlineStr">
        <is>
          <t>—</t>
        </is>
      </c>
      <c r="F19" t="inlineStr">
        <is>
          <t>1 jedn. = 0,5 miasta</t>
        </is>
      </c>
      <c r="G19" s="14">
        <f>IF($E$5=0,0,D19/$E$5)</f>
        <v/>
      </c>
    </row>
    <row r="20">
      <c r="A20" t="inlineStr">
        <is>
          <t>Wygrane bitwy</t>
        </is>
      </c>
      <c r="B20">
        <f>B7</f>
        <v/>
      </c>
      <c r="C20" s="13" t="n">
        <v>25</v>
      </c>
      <c r="D20">
        <f>B20*C20</f>
        <v/>
      </c>
      <c r="E20" t="inlineStr">
        <is>
          <t>—</t>
        </is>
      </c>
      <c r="F20" t="inlineStr">
        <is>
          <t>1 bitwa = 1 jednostka (pkt)</t>
        </is>
      </c>
      <c r="G20" s="14">
        <f>IF($E$5=0,0,D20/$E$5)</f>
        <v/>
      </c>
    </row>
    <row r="21">
      <c r="A21" t="inlineStr">
        <is>
          <t>Ludki (sloty populacji)</t>
        </is>
      </c>
      <c r="B21">
        <f>B5</f>
        <v/>
      </c>
      <c r="C21" s="13" t="n">
        <v>5</v>
      </c>
      <c r="D21">
        <f>B21*C21</f>
        <v/>
      </c>
      <c r="E21" t="inlineStr">
        <is>
          <t>—</t>
        </is>
      </c>
      <c r="F21" t="inlineStr">
        <is>
          <t>NIE ludność abs · ~10 ludków/miasto @ 10 miast = ~100</t>
        </is>
      </c>
      <c r="G21" s="14">
        <f>IF($E$5=0,0,D21/$E$5)</f>
        <v/>
      </c>
    </row>
    <row r="22">
      <c r="A22" t="inlineStr">
        <is>
          <t>Rekruci (ekw. jednostek z puli)</t>
        </is>
      </c>
      <c r="B22">
        <f>B17</f>
        <v/>
      </c>
      <c r="C22" s="13" t="n">
        <v>5</v>
      </c>
      <c r="D22">
        <f>B22*C22</f>
        <v/>
      </c>
      <c r="E22" t="inlineStr">
        <is>
          <t>—</t>
        </is>
      </c>
      <c r="F22" t="inlineStr">
        <is>
          <t>pula ÷ koszt werbu · pełna pula ≈ ludki×10 szt.</t>
        </is>
      </c>
      <c r="G22" s="14">
        <f>IF($E$5=0,0,D22/$E$5)</f>
        <v/>
      </c>
    </row>
    <row r="23">
      <c r="A23" t="inlineStr">
        <is>
          <t>Miasta</t>
        </is>
      </c>
      <c r="B23">
        <f>B9</f>
        <v/>
      </c>
      <c r="C23" s="13" t="n">
        <v>50</v>
      </c>
      <c r="D23">
        <f>B23*C23</f>
        <v/>
      </c>
      <c r="E23" t="inlineStr">
        <is>
          <t>—</t>
        </is>
      </c>
      <c r="F23" t="inlineStr">
        <is>
          <t>1 miasto = 2 jednostki (pkt)</t>
        </is>
      </c>
      <c r="G23" s="14">
        <f>IF($E$5=0,0,D23/$E$5)</f>
        <v/>
      </c>
    </row>
    <row r="24">
      <c r="A24" t="inlineStr">
        <is>
          <t>Terytorium (heksy)</t>
        </is>
      </c>
      <c r="B24">
        <f>B10</f>
        <v/>
      </c>
      <c r="C24" s="13" t="n">
        <v>0.5</v>
      </c>
      <c r="D24">
        <f>B24*C24</f>
        <v/>
      </c>
      <c r="E24" t="inlineStr">
        <is>
          <t>—</t>
        </is>
      </c>
      <c r="F24" t="inlineStr">
        <is>
          <t>100 heks = 1 miasto (pkt)</t>
        </is>
      </c>
      <c r="G24" s="14">
        <f>IF($E$5=0,0,D24/$E$5)</f>
        <v/>
      </c>
    </row>
    <row r="25">
      <c r="A25" t="inlineStr">
        <is>
          <t>Budynki</t>
        </is>
      </c>
      <c r="B25">
        <f>B11</f>
        <v/>
      </c>
      <c r="C25" s="13" t="n">
        <v>5</v>
      </c>
      <c r="D25">
        <f>B25*C25</f>
        <v/>
      </c>
      <c r="E25" t="inlineStr">
        <is>
          <t>—</t>
        </is>
      </c>
      <c r="F25" t="inlineStr">
        <is>
          <t>zastępuje stary slot gospodarka</t>
        </is>
      </c>
      <c r="G25" s="14">
        <f>IF($E$5=0,0,D25/$E$5)</f>
        <v/>
      </c>
    </row>
    <row r="26">
      <c r="A26" s="15" t="inlineStr">
        <is>
          <t>Odkrycia / tech zbadane</t>
        </is>
      </c>
      <c r="B26">
        <f>B12</f>
        <v/>
      </c>
      <c r="C26" s="9" t="n">
        <v>20</v>
      </c>
      <c r="D26">
        <f>B26*C26</f>
        <v/>
      </c>
      <c r="E26" t="inlineStr">
        <is>
          <t>—</t>
        </is>
      </c>
      <c r="F26" t="inlineStr">
        <is>
          <t>Progres zamiast mnożnika epoki</t>
        </is>
      </c>
      <c r="G26" s="14">
        <f>IF($E$5=0,0,D26/$E$5)</f>
        <v/>
      </c>
    </row>
    <row r="27">
      <c r="A27" s="15" t="inlineStr">
        <is>
          <t>Ulepszenia w terenie</t>
        </is>
      </c>
      <c r="B27">
        <f>B13</f>
        <v/>
      </c>
      <c r="C27" s="9" t="n">
        <v>5</v>
      </c>
      <c r="D27">
        <f>B27*C27</f>
        <v/>
      </c>
      <c r="E27" t="inlineStr">
        <is>
          <t>—</t>
        </is>
      </c>
      <c r="F27" t="inlineStr">
        <is>
          <t>farmy, drogi, hodowla…</t>
        </is>
      </c>
      <c r="G27" s="14">
        <f>IF($E$5=0,0,D27/$E$5)</f>
        <v/>
      </c>
    </row>
    <row r="30">
      <c r="A30" s="16" t="inlineStr">
        <is>
          <t>PORÓWNANIE (nie w Power) — stary sposób ludności abs.</t>
        </is>
      </c>
    </row>
    <row r="31">
      <c r="A31" t="inlineStr">
        <is>
          <t>Gdyby: ludność abs /1000</t>
        </is>
      </c>
      <c r="B31">
        <f>FLOOR(B14/1000,1)</f>
        <v/>
      </c>
      <c r="C31" s="8" t="n">
        <v>1</v>
      </c>
      <c r="D31">
        <f>B31*C31</f>
        <v/>
      </c>
      <c r="F31" t="inlineStr">
        <is>
          <t>Podwojenie przy skoku epoki — dlaczego odrzuciliśmy</t>
        </is>
      </c>
    </row>
    <row r="32">
      <c r="A32" t="inlineStr">
        <is>
          <t>Gdyby: Power × epoka</t>
        </is>
      </c>
      <c r="B32">
        <f>B4</f>
        <v/>
      </c>
      <c r="C32" s="8" t="n">
        <v>1</v>
      </c>
      <c r="D32">
        <f>E5*B32</f>
        <v/>
      </c>
      <c r="F32" t="inlineStr">
        <is>
          <t>Stary model v2 — odrzucony</t>
        </is>
      </c>
    </row>
    <row r="33">
      <c r="A33" t="inlineStr">
        <is>
          <t>Gdyby: rekruci % max × 1 (sufit 100)</t>
        </is>
      </c>
      <c r="B33">
        <f>B18</f>
        <v/>
      </c>
      <c r="C33" s="8" t="n">
        <v>1</v>
      </c>
      <c r="D33">
        <f>B33*C33</f>
        <v/>
      </c>
      <c r="F33" t="inlineStr">
        <is>
          <t>Traci znaczenie gdy inne składniki rosną — odrzucone</t>
        </is>
      </c>
    </row>
    <row r="34">
      <c r="A34" t="inlineStr">
        <is>
          <t>Gdyby: rekruci /100 × 1</t>
        </is>
      </c>
      <c r="B34">
        <f>FLOOR(B8/100,1)</f>
        <v/>
      </c>
      <c r="C34" s="8" t="n">
        <v>1</v>
      </c>
      <c r="D34">
        <f>B34*C34</f>
        <v/>
      </c>
      <c r="F34" t="inlineStr">
        <is>
          <t>Surowa pula rośnie z epoką — odrzucone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Test: 10 ludków, 6 jedn., 2 bitwy, reszta jak spec — tylko epoka się zmienia</t>
        </is>
      </c>
    </row>
    <row r="3">
      <c r="A3" s="1" t="inlineStr"/>
      <c r="B3" s="1" t="inlineStr">
        <is>
          <t>Kamień ep.1</t>
        </is>
      </c>
      <c r="C3" s="1" t="inlineStr">
        <is>
          <t>Brąz ep.2</t>
        </is>
      </c>
      <c r="D3" s="1" t="inlineStr">
        <is>
          <t>Różnica</t>
        </is>
      </c>
    </row>
    <row r="4">
      <c r="A4" t="inlineStr">
        <is>
          <t>Epoka</t>
        </is>
      </c>
      <c r="B4" t="n">
        <v>1</v>
      </c>
      <c r="C4" t="n">
        <v>2</v>
      </c>
      <c r="D4">
        <f>C4-B4</f>
        <v/>
      </c>
    </row>
    <row r="5">
      <c r="A5" t="inlineStr">
        <is>
          <t>Suma ludków</t>
        </is>
      </c>
      <c r="B5" t="n">
        <v>10</v>
      </c>
      <c r="C5" t="n">
        <v>10</v>
      </c>
      <c r="D5" t="n">
        <v>0</v>
      </c>
    </row>
    <row r="6">
      <c r="A6" t="inlineStr">
        <is>
          <t>Jednostki</t>
        </is>
      </c>
      <c r="B6" t="n">
        <v>6</v>
      </c>
      <c r="C6" t="n">
        <v>6</v>
      </c>
      <c r="D6" t="n">
        <v>0</v>
      </c>
    </row>
    <row r="7">
      <c r="A7" t="inlineStr">
        <is>
          <t>Bitwy</t>
        </is>
      </c>
      <c r="B7" t="n">
        <v>2</v>
      </c>
      <c r="C7" t="n">
        <v>2</v>
      </c>
      <c r="D7" t="n">
        <v>0</v>
      </c>
    </row>
    <row r="8">
      <c r="A8" t="inlineStr">
        <is>
          <t>Rekruci pula</t>
        </is>
      </c>
      <c r="B8" t="n">
        <v>8000</v>
      </c>
      <c r="C8" t="n">
        <v>16000</v>
      </c>
      <c r="D8">
        <f>C8-B8</f>
        <v/>
      </c>
    </row>
    <row r="9">
      <c r="A9" t="inlineStr">
        <is>
          <t>Miasta</t>
        </is>
      </c>
      <c r="B9" t="n">
        <v>1</v>
      </c>
      <c r="C9" t="n">
        <v>1</v>
      </c>
      <c r="D9" t="n">
        <v>0</v>
      </c>
    </row>
    <row r="10">
      <c r="A10" t="inlineStr">
        <is>
          <t>Heksy</t>
        </is>
      </c>
      <c r="B10" t="n">
        <v>45</v>
      </c>
      <c r="C10" t="n">
        <v>45</v>
      </c>
      <c r="D10" t="n">
        <v>0</v>
      </c>
    </row>
    <row r="11">
      <c r="A11" t="inlineStr">
        <is>
          <t>Budynki</t>
        </is>
      </c>
      <c r="B11" t="n">
        <v>6</v>
      </c>
      <c r="C11" t="n">
        <v>6</v>
      </c>
      <c r="D11" t="n">
        <v>0</v>
      </c>
    </row>
    <row r="12">
      <c r="A12" t="inlineStr">
        <is>
          <t>Tech zbadane</t>
        </is>
      </c>
      <c r="B12" t="n">
        <v>8</v>
      </c>
      <c r="C12" t="n">
        <v>9</v>
      </c>
      <c r="D12">
        <f>C12-B12</f>
        <v/>
      </c>
    </row>
    <row r="13">
      <c r="A13" t="inlineStr">
        <is>
          <t>Ulepszenia</t>
        </is>
      </c>
      <c r="B13" t="n">
        <v>12</v>
      </c>
      <c r="C13" t="n">
        <v>12</v>
      </c>
      <c r="D13" t="n">
        <v>0</v>
      </c>
    </row>
    <row r="15">
      <c r="A15" t="inlineStr">
        <is>
          <t>Ludność abs (INFO)</t>
        </is>
      </c>
      <c r="B15">
        <f>B5*VLOOKUP(B4,Epoki!$A$2:$B$11,2,FALSE)</f>
        <v/>
      </c>
      <c r="C15">
        <f>C5*VLOOKUP(C4,Epoki!$A$2:$B$11,2,FALSE)</f>
        <v/>
      </c>
      <c r="D15">
        <f>C15-B15</f>
        <v/>
      </c>
    </row>
    <row r="16">
      <c r="A16" t="inlineStr">
        <is>
          <t>Pkt gdyby abs/1000 (stary)</t>
        </is>
      </c>
      <c r="B16">
        <f>FLOOR(B15/1000,1)</f>
        <v/>
      </c>
      <c r="C16">
        <f>FLOOR(C15/1000,1)</f>
        <v/>
      </c>
      <c r="D16">
        <f>C16-B16</f>
        <v/>
      </c>
    </row>
    <row r="17">
      <c r="A17" t="inlineStr">
        <is>
          <t>Pkt ludki×12 (nowy)</t>
        </is>
      </c>
      <c r="B17">
        <f>B5*12</f>
        <v/>
      </c>
      <c r="C17">
        <f>C5*12</f>
        <v/>
      </c>
      <c r="D17" t="n">
        <v>0</v>
      </c>
    </row>
    <row r="18">
      <c r="A18" t="inlineStr">
        <is>
          <t>Power × epoka (odrzucone)</t>
        </is>
      </c>
      <c r="B18" t="n">
        <v>478</v>
      </c>
      <c r="C18">
        <f>956</f>
        <v/>
      </c>
      <c r="D18">
        <f>C18-B18</f>
        <v/>
      </c>
    </row>
    <row r="19">
      <c r="A19" t="inlineStr">
        <is>
          <t>Koszt werbu 1 jedn.</t>
        </is>
      </c>
      <c r="B19">
        <f>VLOOKUP(B4,Epoki!$A$2:$D$11,4,FALSE)</f>
        <v/>
      </c>
      <c r="C19">
        <f>VLOOKUP(C4,Epoki!$A$2:$D$11,4,FALSE)</f>
        <v/>
      </c>
      <c r="D19">
        <f>C19-B19</f>
        <v/>
      </c>
    </row>
    <row r="20">
      <c r="A20" t="inlineStr">
        <is>
          <t>Ekw. jednostek (pula÷koszt)</t>
        </is>
      </c>
      <c r="B20">
        <f>IF(B19=0,0,FLOOR(B8/B19,1))</f>
        <v/>
      </c>
      <c r="C20">
        <f>IF(C19=0,0,FLOOR(C8/C19,1))</f>
        <v/>
      </c>
      <c r="D20">
        <f>C20-B20</f>
        <v/>
      </c>
    </row>
    <row r="22">
      <c r="A22" s="2" t="inlineStr">
        <is>
          <t>Przy 80% puli: ep.1 8000/100=80 · ep.2 16000/200=80 — ten sam mobilization Power.</t>
        </is>
      </c>
    </row>
    <row r="23">
      <c r="A23" s="2" t="inlineStr">
        <is>
          <t>Wniosek: skok epoki nie podbija Power bez realnego wzrostu imperium.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Scenariusze — skopiuj do Kalkulator!B4:B13</t>
        </is>
      </c>
    </row>
    <row r="3">
      <c r="A3" s="1" t="inlineStr">
        <is>
          <t>Parametr</t>
        </is>
      </c>
      <c r="B3" s="1" t="inlineStr">
        <is>
          <t>Start ep.1</t>
        </is>
      </c>
      <c r="C3" s="1" t="inlineStr">
        <is>
          <t>Mid ep.3</t>
        </is>
      </c>
      <c r="D3" s="1" t="inlineStr">
        <is>
          <t>Late ep.7</t>
        </is>
      </c>
      <c r="E3" s="1" t="inlineStr">
        <is>
          <t>Równe cyw · ep1</t>
        </is>
      </c>
      <c r="F3" s="1" t="inlineStr">
        <is>
          <t>Równe cyw · ep2 +1 tech</t>
        </is>
      </c>
    </row>
    <row r="4">
      <c r="A4" t="inlineStr">
        <is>
          <t>Epoka</t>
        </is>
      </c>
      <c r="B4" t="n">
        <v>1</v>
      </c>
      <c r="C4" t="n">
        <v>3</v>
      </c>
      <c r="D4" t="n">
        <v>7</v>
      </c>
      <c r="E4" t="n">
        <v>1</v>
      </c>
      <c r="F4" t="n">
        <v>2</v>
      </c>
    </row>
    <row r="5">
      <c r="A5" t="inlineStr">
        <is>
          <t>Suma ludków</t>
        </is>
      </c>
      <c r="B5" t="n">
        <v>10</v>
      </c>
      <c r="C5" t="n">
        <v>20</v>
      </c>
      <c r="D5" t="n">
        <v>30</v>
      </c>
      <c r="E5" t="n">
        <v>10</v>
      </c>
      <c r="F5" t="n">
        <v>10</v>
      </c>
    </row>
    <row r="6">
      <c r="A6" t="inlineStr">
        <is>
          <t>Jednostki</t>
        </is>
      </c>
      <c r="B6" t="n">
        <v>3</v>
      </c>
      <c r="C6" t="n">
        <v>10</v>
      </c>
      <c r="D6" t="n">
        <v>25</v>
      </c>
      <c r="E6" t="n">
        <v>6</v>
      </c>
      <c r="F6" t="n">
        <v>6</v>
      </c>
    </row>
    <row r="7">
      <c r="A7" t="inlineStr">
        <is>
          <t>Wygrane bitwy</t>
        </is>
      </c>
      <c r="B7" t="n">
        <v>0</v>
      </c>
      <c r="C7" t="n">
        <v>3</v>
      </c>
      <c r="D7" t="n">
        <v>12</v>
      </c>
      <c r="E7" t="n">
        <v>2</v>
      </c>
      <c r="F7" t="n">
        <v>2</v>
      </c>
    </row>
    <row r="8">
      <c r="A8" t="inlineStr">
        <is>
          <t>Rekruci (pula)</t>
        </is>
      </c>
      <c r="B8" t="n">
        <v>5000</v>
      </c>
      <c r="C8" t="n">
        <v>12000</v>
      </c>
      <c r="D8" t="n">
        <v>60000</v>
      </c>
      <c r="E8" t="n">
        <v>8000</v>
      </c>
      <c r="F8" t="n">
        <v>16000</v>
      </c>
    </row>
    <row r="9">
      <c r="A9" t="inlineStr">
        <is>
          <t>Miasta</t>
        </is>
      </c>
      <c r="B9" t="n">
        <v>1</v>
      </c>
      <c r="C9" t="n">
        <v>2</v>
      </c>
      <c r="D9" t="n">
        <v>4</v>
      </c>
      <c r="E9" t="n">
        <v>1</v>
      </c>
      <c r="F9" t="n">
        <v>1</v>
      </c>
    </row>
    <row r="10">
      <c r="A10" t="inlineStr">
        <is>
          <t>Heksy</t>
        </is>
      </c>
      <c r="B10" t="n">
        <v>30</v>
      </c>
      <c r="C10" t="n">
        <v>55</v>
      </c>
      <c r="D10" t="n">
        <v>120</v>
      </c>
      <c r="E10" t="n">
        <v>45</v>
      </c>
      <c r="F10" t="n">
        <v>45</v>
      </c>
    </row>
    <row r="11">
      <c r="A11" t="inlineStr">
        <is>
          <t>Budynki</t>
        </is>
      </c>
      <c r="B11" t="n">
        <v>2</v>
      </c>
      <c r="C11" t="n">
        <v>8</v>
      </c>
      <c r="D11" t="n">
        <v>24</v>
      </c>
      <c r="E11" t="n">
        <v>6</v>
      </c>
      <c r="F11" t="n">
        <v>6</v>
      </c>
    </row>
    <row r="12">
      <c r="A12" t="inlineStr">
        <is>
          <t>Tech zbadane</t>
        </is>
      </c>
      <c r="B12" t="n">
        <v>3</v>
      </c>
      <c r="C12" t="n">
        <v>12</v>
      </c>
      <c r="D12" t="n">
        <v>35</v>
      </c>
      <c r="E12" t="n">
        <v>8</v>
      </c>
      <c r="F12" t="n">
        <v>9</v>
      </c>
    </row>
    <row r="13">
      <c r="A13" t="inlineStr">
        <is>
          <t>Ulepszenia terenu</t>
        </is>
      </c>
      <c r="B13" t="n">
        <v>4</v>
      </c>
      <c r="C13" t="n">
        <v>18</v>
      </c>
      <c r="D13" t="n">
        <v>60</v>
      </c>
      <c r="E13" t="n">
        <v>12</v>
      </c>
      <c r="F13" t="n">
        <v>12</v>
      </c>
    </row>
    <row r="16">
      <c r="A16" s="2" t="inlineStr">
        <is>
          <t>Kolumny E–F: ten sam % puli (80%) — ep.2 ma 2× rekrutów i 2× koszt werbu → ten sam ekw. jednostek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4" max="4"/>
  </cols>
  <sheetData>
    <row r="1">
      <c r="A1" s="5" t="inlineStr">
        <is>
          <t>Historia wag % + odrzucone elementy v2</t>
        </is>
      </c>
    </row>
    <row r="3">
      <c r="A3" s="1" t="inlineStr">
        <is>
          <t>Klucz</t>
        </is>
      </c>
      <c r="B3" s="1" t="inlineStr">
        <is>
          <t>Waga %</t>
        </is>
      </c>
      <c r="C3" s="1" t="inlineStr">
        <is>
          <t>Status</t>
        </is>
      </c>
      <c r="D3" s="1" t="inlineStr">
        <is>
          <t>W modelu P-A (Excel)</t>
        </is>
      </c>
    </row>
    <row r="4">
      <c r="A4" t="inlineStr">
        <is>
          <t>wielkoscArmii</t>
        </is>
      </c>
      <c r="B4" t="n">
        <v>24</v>
      </c>
      <c r="C4" t="inlineStr">
        <is>
          <t>stary 0–100</t>
        </is>
      </c>
      <c r="D4" t="inlineStr">
        <is>
          <t>Armia ×10</t>
        </is>
      </c>
    </row>
    <row r="5">
      <c r="A5" t="inlineStr">
        <is>
          <t>wygraneBitwy</t>
        </is>
      </c>
      <c r="B5" t="n">
        <v>17</v>
      </c>
      <c r="C5" t="inlineStr">
        <is>
          <t>stary 0–100</t>
        </is>
      </c>
      <c r="D5" t="inlineStr">
        <is>
          <t>Bitwy ×25</t>
        </is>
      </c>
    </row>
    <row r="6">
      <c r="A6" t="inlineStr">
        <is>
          <t>ludnosc</t>
        </is>
      </c>
      <c r="B6" t="n">
        <v>15</v>
      </c>
      <c r="C6" t="inlineStr">
        <is>
          <t>stary 0–100</t>
        </is>
      </c>
      <c r="D6" t="inlineStr">
        <is>
          <t>→ Ludki ×12 (NIE abs/1000)</t>
        </is>
      </c>
    </row>
    <row r="7">
      <c r="A7" t="inlineStr">
        <is>
          <t>rekruci</t>
        </is>
      </c>
      <c r="B7" t="n">
        <v>15</v>
      </c>
      <c r="C7" t="inlineStr">
        <is>
          <t>stary 0–100</t>
        </is>
      </c>
      <c r="D7" t="inlineStr">
        <is>
          <t>→ ekw. jednostek (pula÷koszt) ×10</t>
        </is>
      </c>
    </row>
    <row r="8">
      <c r="A8" t="inlineStr">
        <is>
          <t>miasta</t>
        </is>
      </c>
      <c r="B8" t="n">
        <v>12</v>
      </c>
      <c r="C8" t="inlineStr">
        <is>
          <t>stary 0–100</t>
        </is>
      </c>
      <c r="D8" t="inlineStr">
        <is>
          <t>Miasta ×50 + heksy ×2</t>
        </is>
      </c>
    </row>
    <row r="9">
      <c r="A9" t="inlineStr">
        <is>
          <t>gospodarka</t>
        </is>
      </c>
      <c r="B9" t="n">
        <v>10</v>
      </c>
      <c r="C9" t="inlineStr">
        <is>
          <t>stary 0–100</t>
        </is>
      </c>
      <c r="D9" t="inlineStr">
        <is>
          <t>→ Budynki ×8</t>
        </is>
      </c>
    </row>
    <row r="10">
      <c r="A10" t="inlineStr">
        <is>
          <t>epoka</t>
        </is>
      </c>
      <c r="B10" t="n">
        <v>7</v>
      </c>
      <c r="C10" t="inlineStr">
        <is>
          <t>stary 0–100</t>
        </is>
      </c>
      <c r="D10" t="inlineStr">
        <is>
          <t>ODRZUCONE jako mnożnik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NOWE</t>
        </is>
      </c>
      <c r="D11" t="inlineStr">
        <is>
          <t>Tech zbadane ×15 · ulepszenia ×5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2026-06-29T13:54:01Z</dcterms:created>
  <dcterms:modified xmlns:dcterms="http://purl.org/dc/terms/" xmlns:xsi="http://www.w3.org/2001/XMLSchema-instance" xsi:type="dcterms:W3CDTF">2026-06-29T13:54:01Z</dcterms:modified>
</cp:coreProperties>
</file>