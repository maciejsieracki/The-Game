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łożenia" sheetId="1" state="visible" r:id="rId1"/>
    <sheet xmlns:r="http://schemas.openxmlformats.org/officeDocument/2006/relationships" name="Tabela epok 1-5" sheetId="2" state="visible" r:id="rId2"/>
    <sheet xmlns:r="http://schemas.openxmlformats.org/officeDocument/2006/relationships" name="Kalkulator epok" sheetId="3" state="visible" r:id="rId3"/>
    <sheet xmlns:r="http://schemas.openxmlformats.org/officeDocument/2006/relationships" name="Kejs stara pula" sheetId="4" state="visible" r:id="rId4"/>
    <sheet xmlns:r="http://schemas.openxmlformats.org/officeDocument/2006/relationships" name="Armia vs rekru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b val="1"/>
      <color rgb="00E0B24A"/>
    </font>
    <font>
      <b val="1"/>
      <sz val="13"/>
    </font>
    <font>
      <i val="1"/>
      <color rgb="00555555"/>
    </font>
    <font>
      <b val="1"/>
      <sz val="12"/>
    </font>
    <font>
      <b val="1"/>
      <color rgb="00336633"/>
    </font>
  </fonts>
  <fills count="6">
    <fill>
      <patternFill/>
    </fill>
    <fill>
      <patternFill patternType="gray125"/>
    </fill>
    <fill>
      <patternFill patternType="solid">
        <fgColor rgb="001E2430"/>
      </patternFill>
    </fill>
    <fill>
      <patternFill patternType="solid">
        <fgColor rgb="00FFF8E0"/>
      </patternFill>
    </fill>
    <fill>
      <patternFill patternType="solid">
        <fgColor rgb="00E8F4E8"/>
      </patternFill>
    </fill>
    <fill>
      <patternFill patternType="solid">
        <fgColor rgb="00E8F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POWER — pomocnik rekruci / werb (epoki 1–5)</t>
        </is>
      </c>
    </row>
    <row r="2">
      <c r="A2" t="inlineStr"/>
    </row>
    <row r="3">
      <c r="A3" t="inlineStr">
        <is>
          <t>Kanon manpower (The Game):</t>
        </is>
      </c>
    </row>
    <row r="4">
      <c r="A4" s="2" t="inlineStr">
        <is>
          <t>• 1 ludek (slot populacji miasta 1–10) → ludność abs. i max rekrutów zależą od epoki imperium.</t>
        </is>
      </c>
    </row>
    <row r="5">
      <c r="A5" s="2" t="inlineStr">
        <is>
          <t>• Co epokę: ludność abs. ×2, max rekrutów na ludka ×2, koszt werbu 1 jednostki ×2.</t>
        </is>
      </c>
    </row>
    <row r="6">
      <c r="A6" s="2" t="inlineStr">
        <is>
          <t>• Koszt werbu = 10% max puli rekrutów na ludka (stała reguła we wszystkich epokach).</t>
        </is>
      </c>
    </row>
    <row r="7">
      <c r="A7" t="inlineStr"/>
    </row>
    <row r="8">
      <c r="A8" t="inlineStr">
        <is>
          <t>Obiektywny parametr Power (rekruci) — NIE surowa pula, NIE % max (sufit 100):</t>
        </is>
      </c>
    </row>
    <row r="9">
      <c r="A9" s="2" t="inlineStr">
        <is>
          <t xml:space="preserve">  ekw. jednostek = floor(rekruci_bieżący ÷ koszt_werbu[epoka])</t>
        </is>
      </c>
    </row>
    <row r="10">
      <c r="A10" s="2" t="inlineStr">
        <is>
          <t xml:space="preserve">  → ile jednostek możesz werbować z obecnej puli (neutralne względem skali epoki).</t>
        </is>
      </c>
    </row>
    <row r="11">
      <c r="A11" t="inlineStr"/>
    </row>
    <row r="12">
      <c r="A12" t="inlineStr">
        <is>
          <t>Pełna pula (100% max): ekw. = suma_ludków × 10  (zawsze, każda epoka).</t>
        </is>
      </c>
    </row>
    <row r="13">
      <c r="A13" t="inlineStr"/>
    </row>
    <row r="14">
      <c r="A14" t="inlineStr">
        <is>
          <t>Power z rekrutów (do kalibracji P-A):</t>
        </is>
      </c>
    </row>
    <row r="15">
      <c r="A15" s="2" t="inlineStr">
        <is>
          <t xml:space="preserve">  pkt_rekruci = ekw. jednostek × współczynnik  (domyślnie 10 — jak armia na mapie).</t>
        </is>
      </c>
    </row>
    <row r="16">
      <c r="A16" t="inlineStr"/>
    </row>
    <row r="17">
      <c r="A17" t="inlineStr">
        <is>
          <t>Armia na mapie (osobny składnik Power):</t>
        </is>
      </c>
    </row>
    <row r="18">
      <c r="A18" s="2" t="inlineStr">
        <is>
          <t xml:space="preserve">  pkt_armia = liczba_jednostek × współczynnik_armia  (domyślnie 10).</t>
        </is>
      </c>
    </row>
    <row r="19">
      <c r="A19" t="inlineStr"/>
    </row>
    <row r="20">
      <c r="A20" t="inlineStr">
        <is>
          <t>Pułap 100% puli: przy tym samym % wypełnienia Power z rekrutów jest stały między epokami.</t>
        </is>
      </c>
    </row>
    <row r="21">
      <c r="A21" t="inlineStr">
        <is>
          <t>Pułap „stara pula”: jeśli epoka skoczyła, a pula nie urosła — ekw. spada (realny stan gry).</t>
        </is>
      </c>
    </row>
    <row r="22">
      <c r="A22" t="inlineStr"/>
    </row>
    <row r="23">
      <c r="A23" t="inlineStr">
        <is>
          <t>Źródło liczb: gra/data/epoka-ludnosc-manpower.json · epoki 1–5.</t>
        </is>
      </c>
    </row>
    <row r="24">
      <c r="A24" t="inlineStr">
        <is>
          <t>Powiązany: POWER-kalkulator-Maciej.xlsx (pełny Power P-A).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Skala kanonu — mnożnik ×2 co epokę (ep.1 → ep.5)</t>
        </is>
      </c>
    </row>
    <row r="3">
      <c r="A3" s="4" t="inlineStr">
        <is>
          <t>Epoka</t>
        </is>
      </c>
      <c r="B3" s="4" t="inlineStr">
        <is>
          <t>Ludzi / 1 ludka</t>
        </is>
      </c>
      <c r="C3" s="4" t="inlineStr">
        <is>
          <t>Max rekr. / 1 ludka</t>
        </is>
      </c>
      <c r="D3" s="4" t="inlineStr">
        <is>
          <t>Koszt werbu 1 jedn.</t>
        </is>
      </c>
      <c r="E3" s="4" t="inlineStr">
        <is>
          <t>×2 vs poprzednia</t>
        </is>
      </c>
    </row>
    <row r="4">
      <c r="A4" t="n">
        <v>1</v>
      </c>
      <c r="B4" s="5" t="n">
        <v>10000</v>
      </c>
      <c r="C4" s="5" t="n">
        <v>1000</v>
      </c>
      <c r="D4" s="5" t="n">
        <v>100</v>
      </c>
      <c r="E4" t="inlineStr">
        <is>
          <t>—</t>
        </is>
      </c>
    </row>
    <row r="5">
      <c r="A5" t="n">
        <v>2</v>
      </c>
      <c r="B5" s="5" t="n">
        <v>20000</v>
      </c>
      <c r="C5" s="5" t="n">
        <v>2000</v>
      </c>
      <c r="D5" s="5" t="n">
        <v>200</v>
      </c>
      <c r="E5" t="n">
        <v>2</v>
      </c>
    </row>
    <row r="6">
      <c r="A6" t="n">
        <v>3</v>
      </c>
      <c r="B6" s="5" t="n">
        <v>40000</v>
      </c>
      <c r="C6" s="5" t="n">
        <v>4000</v>
      </c>
      <c r="D6" s="5" t="n">
        <v>400</v>
      </c>
      <c r="E6" t="n">
        <v>2</v>
      </c>
    </row>
    <row r="7">
      <c r="A7" t="n">
        <v>4</v>
      </c>
      <c r="B7" s="5" t="n">
        <v>80000</v>
      </c>
      <c r="C7" s="5" t="n">
        <v>8000</v>
      </c>
      <c r="D7" s="5" t="n">
        <v>800</v>
      </c>
      <c r="E7" t="n">
        <v>2</v>
      </c>
    </row>
    <row r="8">
      <c r="A8" t="n">
        <v>5</v>
      </c>
      <c r="B8" s="5" t="n">
        <v>160000</v>
      </c>
      <c r="C8" s="5" t="n">
        <v>16000</v>
      </c>
      <c r="D8" s="5" t="n">
        <v>1600</v>
      </c>
      <c r="E8" t="n">
        <v>2</v>
      </c>
    </row>
    <row r="10">
      <c r="A10" s="3" t="inlineStr">
        <is>
          <t>Przykład: 10 ludków, pełna pula (100%)</t>
        </is>
      </c>
      <c r="B10" s="3" t="inlineStr">
        <is>
          <t>Ep. 1</t>
        </is>
      </c>
      <c r="C10" s="3" t="inlineStr">
        <is>
          <t>Ep. 2</t>
        </is>
      </c>
      <c r="D10" s="3" t="inlineStr">
        <is>
          <t>Ep. 3</t>
        </is>
      </c>
      <c r="E10" s="3" t="inlineStr">
        <is>
          <t>Ep. 4</t>
        </is>
      </c>
      <c r="F10" s="3" t="inlineStr">
        <is>
          <t>Ep. 5</t>
        </is>
      </c>
    </row>
    <row r="11">
      <c r="A11" t="inlineStr">
        <is>
          <t>Max rekruci</t>
        </is>
      </c>
      <c r="B11">
        <f>10*C4</f>
        <v/>
      </c>
      <c r="C11">
        <f>10*C5</f>
        <v/>
      </c>
      <c r="D11">
        <f>10*C6</f>
        <v/>
      </c>
      <c r="E11">
        <f>10*C7</f>
        <v/>
      </c>
      <c r="F11">
        <f>10*C8</f>
        <v/>
      </c>
    </row>
    <row r="12">
      <c r="A12" t="inlineStr">
        <is>
          <t>Ekw. jednostek</t>
        </is>
      </c>
      <c r="B12">
        <f>IF(D4=0,0,B11/D4)</f>
        <v/>
      </c>
      <c r="C12">
        <f>IF(D5=0,0,C11/D5)</f>
        <v/>
      </c>
      <c r="D12">
        <f>IF(D6=0,0,D11/D6)</f>
        <v/>
      </c>
      <c r="E12">
        <f>IF(D7=0,0,E11/D7)</f>
        <v/>
      </c>
      <c r="F12">
        <f>IF(D8=0,0,F11/D8)</f>
        <v/>
      </c>
    </row>
    <row r="13">
      <c r="A13" t="inlineStr">
        <is>
          <t>→ stałe 100 ekw.</t>
        </is>
      </c>
      <c r="B13">
        <f>IF(B12=100,"OK","!")</f>
        <v/>
      </c>
      <c r="C13">
        <f>IF(C12=100,"OK","!")</f>
        <v/>
      </c>
      <c r="D13">
        <f>IF(D12=100,"OK","!")</f>
        <v/>
      </c>
      <c r="E13">
        <f>IF(E12=100,"OK","!")</f>
        <v/>
      </c>
      <c r="F13">
        <f>IF(F12=100,"OK","!")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6" t="inlineStr">
        <is>
          <t>Przelicznik — wpisz żółte · patrz ekw. i Power</t>
        </is>
      </c>
    </row>
    <row r="3">
      <c r="A3" t="inlineStr">
        <is>
          <t>Suma ludków (wszystkie miasta)</t>
        </is>
      </c>
      <c r="B3" s="7" t="n">
        <v>10</v>
      </c>
    </row>
    <row r="4">
      <c r="A4" t="inlineStr">
        <is>
          <t>Współcz. Power / ekw. jednostki</t>
        </is>
      </c>
      <c r="B4" s="8" t="n">
        <v>10</v>
      </c>
    </row>
    <row r="5">
      <c r="A5" t="inlineStr">
        <is>
          <t>Współcz. Power / jednostka na mapie</t>
        </is>
      </c>
      <c r="B5" s="8" t="n">
        <v>10</v>
      </c>
    </row>
    <row r="7">
      <c r="A7" s="3" t="inlineStr">
        <is>
          <t>% wypełnienia puli (scenariusze → kolumny)</t>
        </is>
      </c>
      <c r="D7" s="9" t="inlineStr">
        <is>
          <t>25%</t>
        </is>
      </c>
      <c r="E7" s="9" t="inlineStr">
        <is>
          <t>50%</t>
        </is>
      </c>
      <c r="F7" s="9" t="inlineStr">
        <is>
          <t>75%</t>
        </is>
      </c>
      <c r="G7" s="9" t="inlineStr">
        <is>
          <t>100%</t>
        </is>
      </c>
    </row>
    <row r="8">
      <c r="A8" s="10" t="inlineStr">
        <is>
          <t>Jednostki na mapie (per epoka → wiersz)</t>
        </is>
      </c>
    </row>
    <row r="9">
      <c r="A9" s="4" t="inlineStr">
        <is>
          <t>Epoka</t>
        </is>
      </c>
      <c r="B9" s="4" t="inlineStr">
        <is>
          <t>Ludzi/ludek</t>
        </is>
      </c>
      <c r="C9" s="4" t="inlineStr">
        <is>
          <t>Max rek/ludek</t>
        </is>
      </c>
      <c r="D9" s="4" t="inlineStr">
        <is>
          <t>Koszt werbu</t>
        </is>
      </c>
      <c r="E9" s="4" t="inlineStr">
        <is>
          <t>Max rekruci</t>
        </is>
      </c>
      <c r="F9" s="4" t="inlineStr">
        <is>
          <t>Jedn. mapa</t>
        </is>
      </c>
      <c r="G9" s="4" t="inlineStr">
        <is>
          <t>25% pula</t>
        </is>
      </c>
      <c r="H9" s="4" t="inlineStr">
        <is>
          <t>50% pula</t>
        </is>
      </c>
      <c r="I9" s="4" t="inlineStr">
        <is>
          <t>75% pula</t>
        </is>
      </c>
      <c r="J9" s="4" t="inlineStr">
        <is>
          <t>100% pula</t>
        </is>
      </c>
      <c r="K9" s="4" t="inlineStr">
        <is>
          <t>Ekw. @25%</t>
        </is>
      </c>
      <c r="L9" s="4" t="inlineStr">
        <is>
          <t>Ekw. @50%</t>
        </is>
      </c>
      <c r="M9" s="4" t="inlineStr">
        <is>
          <t>Ekw. @75%</t>
        </is>
      </c>
      <c r="N9" s="4" t="inlineStr">
        <is>
          <t>Ekw. @100%</t>
        </is>
      </c>
      <c r="O9" s="4" t="inlineStr">
        <is>
          <t>Pkt rekr.@100%</t>
        </is>
      </c>
      <c r="P9" s="4" t="inlineStr">
        <is>
          <t>Pkt armia</t>
        </is>
      </c>
      <c r="Q9" s="4" t="inlineStr">
        <is>
          <t>Suma P(rek+arm)</t>
        </is>
      </c>
    </row>
    <row r="10">
      <c r="A10" t="n">
        <v>1</v>
      </c>
      <c r="B10" t="n">
        <v>10000</v>
      </c>
      <c r="C10" t="n">
        <v>1000</v>
      </c>
      <c r="D10" t="n">
        <v>100</v>
      </c>
      <c r="E10">
        <f>$B$3*C10</f>
        <v/>
      </c>
      <c r="F10" s="9" t="n">
        <v>3</v>
      </c>
      <c r="G10" s="5">
        <f>ROUND(E10*25/100,0)</f>
        <v/>
      </c>
      <c r="H10" s="5">
        <f>ROUND(E10*50/100,0)</f>
        <v/>
      </c>
      <c r="I10" s="5">
        <f>ROUND(E10*75/100,0)</f>
        <v/>
      </c>
      <c r="J10" s="5">
        <f>ROUND(E10*100/100,0)</f>
        <v/>
      </c>
      <c r="K10">
        <f>IF(D10=0,0,FLOOR(G10/D10,1))</f>
        <v/>
      </c>
      <c r="L10">
        <f>IF(D10=0,0,FLOOR(H10/D10,1))</f>
        <v/>
      </c>
      <c r="M10">
        <f>IF(D10=0,0,FLOOR(I10/D10,1))</f>
        <v/>
      </c>
      <c r="N10">
        <f>IF(D10=0,0,FLOOR(J10/D10,1))</f>
        <v/>
      </c>
      <c r="O10" s="11">
        <f>IF(D10=0,0,FLOOR(J10/D10,1))</f>
        <v/>
      </c>
      <c r="P10">
        <f>F10*$B$5</f>
        <v/>
      </c>
      <c r="Q10" s="3">
        <f>O10*$B$4+F10*$B$5</f>
        <v/>
      </c>
    </row>
    <row r="11">
      <c r="A11" t="n">
        <v>2</v>
      </c>
      <c r="B11" t="n">
        <v>20000</v>
      </c>
      <c r="C11" t="n">
        <v>2000</v>
      </c>
      <c r="D11" t="n">
        <v>200</v>
      </c>
      <c r="E11">
        <f>$B$3*C11</f>
        <v/>
      </c>
      <c r="F11" s="9" t="n">
        <v>5</v>
      </c>
      <c r="G11" s="5">
        <f>ROUND(E11*25/100,0)</f>
        <v/>
      </c>
      <c r="H11" s="5">
        <f>ROUND(E11*50/100,0)</f>
        <v/>
      </c>
      <c r="I11" s="5">
        <f>ROUND(E11*75/100,0)</f>
        <v/>
      </c>
      <c r="J11" s="5">
        <f>ROUND(E11*100/100,0)</f>
        <v/>
      </c>
      <c r="K11">
        <f>IF(D11=0,0,FLOOR(G11/D11,1))</f>
        <v/>
      </c>
      <c r="L11">
        <f>IF(D11=0,0,FLOOR(H11/D11,1))</f>
        <v/>
      </c>
      <c r="M11">
        <f>IF(D11=0,0,FLOOR(I11/D11,1))</f>
        <v/>
      </c>
      <c r="N11">
        <f>IF(D11=0,0,FLOOR(J11/D11,1))</f>
        <v/>
      </c>
      <c r="O11" s="11">
        <f>IF(D11=0,0,FLOOR(J11/D11,1))</f>
        <v/>
      </c>
      <c r="P11">
        <f>F11*$B$5</f>
        <v/>
      </c>
      <c r="Q11" s="3">
        <f>O11*$B$4+F11*$B$5</f>
        <v/>
      </c>
    </row>
    <row r="12">
      <c r="A12" t="n">
        <v>3</v>
      </c>
      <c r="B12" t="n">
        <v>40000</v>
      </c>
      <c r="C12" t="n">
        <v>4000</v>
      </c>
      <c r="D12" t="n">
        <v>400</v>
      </c>
      <c r="E12">
        <f>$B$3*C12</f>
        <v/>
      </c>
      <c r="F12" s="9" t="n">
        <v>8</v>
      </c>
      <c r="G12" s="5">
        <f>ROUND(E12*25/100,0)</f>
        <v/>
      </c>
      <c r="H12" s="5">
        <f>ROUND(E12*50/100,0)</f>
        <v/>
      </c>
      <c r="I12" s="5">
        <f>ROUND(E12*75/100,0)</f>
        <v/>
      </c>
      <c r="J12" s="5">
        <f>ROUND(E12*100/100,0)</f>
        <v/>
      </c>
      <c r="K12">
        <f>IF(D12=0,0,FLOOR(G12/D12,1))</f>
        <v/>
      </c>
      <c r="L12">
        <f>IF(D12=0,0,FLOOR(H12/D12,1))</f>
        <v/>
      </c>
      <c r="M12">
        <f>IF(D12=0,0,FLOOR(I12/D12,1))</f>
        <v/>
      </c>
      <c r="N12">
        <f>IF(D12=0,0,FLOOR(J12/D12,1))</f>
        <v/>
      </c>
      <c r="O12" s="11">
        <f>IF(D12=0,0,FLOOR(J12/D12,1))</f>
        <v/>
      </c>
      <c r="P12">
        <f>F12*$B$5</f>
        <v/>
      </c>
      <c r="Q12" s="3">
        <f>O12*$B$4+F12*$B$5</f>
        <v/>
      </c>
    </row>
    <row r="13">
      <c r="A13" t="n">
        <v>4</v>
      </c>
      <c r="B13" t="n">
        <v>80000</v>
      </c>
      <c r="C13" t="n">
        <v>8000</v>
      </c>
      <c r="D13" t="n">
        <v>800</v>
      </c>
      <c r="E13">
        <f>$B$3*C13</f>
        <v/>
      </c>
      <c r="F13" s="9" t="n">
        <v>12</v>
      </c>
      <c r="G13" s="5">
        <f>ROUND(E13*25/100,0)</f>
        <v/>
      </c>
      <c r="H13" s="5">
        <f>ROUND(E13*50/100,0)</f>
        <v/>
      </c>
      <c r="I13" s="5">
        <f>ROUND(E13*75/100,0)</f>
        <v/>
      </c>
      <c r="J13" s="5">
        <f>ROUND(E13*100/100,0)</f>
        <v/>
      </c>
      <c r="K13">
        <f>IF(D13=0,0,FLOOR(G13/D13,1))</f>
        <v/>
      </c>
      <c r="L13">
        <f>IF(D13=0,0,FLOOR(H13/D13,1))</f>
        <v/>
      </c>
      <c r="M13">
        <f>IF(D13=0,0,FLOOR(I13/D13,1))</f>
        <v/>
      </c>
      <c r="N13">
        <f>IF(D13=0,0,FLOOR(J13/D13,1))</f>
        <v/>
      </c>
      <c r="O13" s="11">
        <f>IF(D13=0,0,FLOOR(J13/D13,1))</f>
        <v/>
      </c>
      <c r="P13">
        <f>F13*$B$5</f>
        <v/>
      </c>
      <c r="Q13" s="3">
        <f>O13*$B$4+F13*$B$5</f>
        <v/>
      </c>
    </row>
    <row r="14">
      <c r="A14" t="n">
        <v>5</v>
      </c>
      <c r="B14" t="n">
        <v>160000</v>
      </c>
      <c r="C14" t="n">
        <v>16000</v>
      </c>
      <c r="D14" t="n">
        <v>1600</v>
      </c>
      <c r="E14">
        <f>$B$3*C14</f>
        <v/>
      </c>
      <c r="F14" s="9" t="n">
        <v>18</v>
      </c>
      <c r="G14" s="5">
        <f>ROUND(E14*25/100,0)</f>
        <v/>
      </c>
      <c r="H14" s="5">
        <f>ROUND(E14*50/100,0)</f>
        <v/>
      </c>
      <c r="I14" s="5">
        <f>ROUND(E14*75/100,0)</f>
        <v/>
      </c>
      <c r="J14" s="5">
        <f>ROUND(E14*100/100,0)</f>
        <v/>
      </c>
      <c r="K14">
        <f>IF(D14=0,0,FLOOR(G14/D14,1))</f>
        <v/>
      </c>
      <c r="L14">
        <f>IF(D14=0,0,FLOOR(H14/D14,1))</f>
        <v/>
      </c>
      <c r="M14">
        <f>IF(D14=0,0,FLOOR(I14/D14,1))</f>
        <v/>
      </c>
      <c r="N14">
        <f>IF(D14=0,0,FLOOR(J14/D14,1))</f>
        <v/>
      </c>
      <c r="O14" s="11">
        <f>IF(D14=0,0,FLOOR(J14/D14,1))</f>
        <v/>
      </c>
      <c r="P14">
        <f>F14*$B$5</f>
        <v/>
      </c>
      <c r="Q14" s="3">
        <f>O14*$B$4+F14*$B$5</f>
        <v/>
      </c>
    </row>
    <row r="17">
      <c r="A17" t="inlineStr">
        <is>
          <t>Kolumny G–J: rekruci_bieżący przy danym % max · K–N: ekw. jednostek · O: pkt z pełnej puli</t>
        </is>
      </c>
    </row>
    <row r="18">
      <c r="A18" t="inlineStr">
        <is>
          <t>P: armia · Q: pkt rekr (100%) + pkt armia — kręć B3–B5 i jednostki w kol.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>
      <c r="A1" s="12" t="inlineStr">
        <is>
          <t>Kejs: 10 ludków · pula ZAMROŻONA 8000 rekrutów · epoka rośnie</t>
        </is>
      </c>
    </row>
    <row r="3">
      <c r="A3" t="inlineStr">
        <is>
          <t>Stała pula (rekruci)</t>
        </is>
      </c>
      <c r="B3" s="7" t="n">
        <v>8000</v>
      </c>
    </row>
    <row r="4">
      <c r="A4" t="inlineStr">
        <is>
          <t>Ludki</t>
        </is>
      </c>
      <c r="B4" s="7" t="n">
        <v>10</v>
      </c>
    </row>
    <row r="5">
      <c r="A5" t="inlineStr">
        <is>
          <t>Współcz. pkt</t>
        </is>
      </c>
      <c r="B5" s="8" t="n">
        <v>10</v>
      </c>
    </row>
    <row r="7">
      <c r="A7" s="4" t="inlineStr">
        <is>
          <t>Epoka</t>
        </is>
      </c>
      <c r="B7" s="4" t="inlineStr">
        <is>
          <t>Koszt werbu</t>
        </is>
      </c>
      <c r="C7" s="4" t="inlineStr">
        <is>
          <t>Max rekruci</t>
        </is>
      </c>
      <c r="D7" s="4" t="inlineStr">
        <is>
          <t>% max</t>
        </is>
      </c>
      <c r="E7" s="4" t="inlineStr">
        <is>
          <t>Ekw. jednostek</t>
        </is>
      </c>
      <c r="F7" s="4" t="inlineStr">
        <is>
          <t>Pkt rekr</t>
        </is>
      </c>
      <c r="G7" s="4" t="inlineStr">
        <is>
          <t>Jedn. mapa</t>
        </is>
      </c>
      <c r="H7" s="4" t="inlineStr">
        <is>
          <t>Pkt armia</t>
        </is>
      </c>
      <c r="I7" s="4" t="inlineStr">
        <is>
          <t>Uwaga</t>
        </is>
      </c>
    </row>
    <row r="8">
      <c r="A8" t="n">
        <v>1</v>
      </c>
      <c r="B8" t="n">
        <v>100</v>
      </c>
      <c r="C8">
        <f>$B$4*1000</f>
        <v/>
      </c>
      <c r="D8">
        <f>IF(C8=0,0,ROUND($B$3/C8*100,1))</f>
        <v/>
      </c>
      <c r="E8">
        <f>IF(B8=0,0,FLOOR($B$3/B8,1))</f>
        <v/>
      </c>
      <c r="F8">
        <f>E8*$B$5</f>
        <v/>
      </c>
      <c r="G8" s="7" t="n">
        <v>3</v>
      </c>
      <c r="H8">
        <f>G8*$B$5</f>
        <v/>
      </c>
      <c r="I8" t="inlineStr">
        <is>
          <t>baseline</t>
        </is>
      </c>
    </row>
    <row r="9">
      <c r="A9" t="n">
        <v>2</v>
      </c>
      <c r="B9" t="n">
        <v>200</v>
      </c>
      <c r="C9">
        <f>$B$4*2000</f>
        <v/>
      </c>
      <c r="D9">
        <f>IF(C9=0,0,ROUND($B$3/C9*100,1))</f>
        <v/>
      </c>
      <c r="E9">
        <f>IF(B9=0,0,FLOOR($B$3/B9,1))</f>
        <v/>
      </c>
      <c r="F9">
        <f>E9*$B$5</f>
        <v/>
      </c>
      <c r="G9" s="7" t="n">
        <v>5</v>
      </c>
      <c r="H9">
        <f>G9*$B$5</f>
        <v/>
      </c>
      <c r="I9" t="inlineStr">
        <is>
          <t>epoka ↑ koszt ×2 — ekw. spada o połowę</t>
        </is>
      </c>
    </row>
    <row r="10">
      <c r="A10" t="n">
        <v>3</v>
      </c>
      <c r="B10" t="n">
        <v>400</v>
      </c>
      <c r="C10">
        <f>$B$4*4000</f>
        <v/>
      </c>
      <c r="D10">
        <f>IF(C10=0,0,ROUND($B$3/C10*100,1))</f>
        <v/>
      </c>
      <c r="E10">
        <f>IF(B10=0,0,FLOOR($B$3/B10,1))</f>
        <v/>
      </c>
      <c r="F10">
        <f>E10*$B$5</f>
        <v/>
      </c>
      <c r="G10" s="7" t="n">
        <v>8</v>
      </c>
      <c r="H10">
        <f>G10*$B$5</f>
        <v/>
      </c>
      <c r="I10" t="inlineStr">
        <is>
          <t>pula coraz mniejszy % max</t>
        </is>
      </c>
    </row>
    <row r="11">
      <c r="A11" t="n">
        <v>4</v>
      </c>
      <c r="B11" t="n">
        <v>800</v>
      </c>
      <c r="C11">
        <f>$B$4*8000</f>
        <v/>
      </c>
      <c r="D11">
        <f>IF(C11=0,0,ROUND($B$3/C11*100,1))</f>
        <v/>
      </c>
      <c r="E11">
        <f>IF(B11=0,0,FLOOR($B$3/B11,1))</f>
        <v/>
      </c>
      <c r="F11">
        <f>E11*$B$5</f>
        <v/>
      </c>
      <c r="G11" s="7" t="n">
        <v>12</v>
      </c>
      <c r="H11">
        <f>G11*$B$5</f>
        <v/>
      </c>
      <c r="I11" t="inlineStr">
        <is>
          <t>…</t>
        </is>
      </c>
    </row>
    <row r="12">
      <c r="A12" t="n">
        <v>5</v>
      </c>
      <c r="B12" t="n">
        <v>1600</v>
      </c>
      <c r="C12">
        <f>$B$4*16000</f>
        <v/>
      </c>
      <c r="D12">
        <f>IF(C12=0,0,ROUND($B$3/C12*100,1))</f>
        <v/>
      </c>
      <c r="E12">
        <f>IF(B12=0,0,FLOOR($B$3/B12,1))</f>
        <v/>
      </c>
      <c r="F12">
        <f>E12*$B$5</f>
        <v/>
      </c>
      <c r="G12" s="7" t="n">
        <v>18</v>
      </c>
      <c r="H12">
        <f>G12*$B$5</f>
        <v/>
      </c>
      <c r="I12" t="inlineStr">
        <is>
          <t>…</t>
        </is>
      </c>
    </row>
    <row r="15">
      <c r="A15" s="13" t="inlineStr">
        <is>
          <t>Porównanie: ta sama mobilizacja (80% max) — pula rośnie z epoką</t>
        </is>
      </c>
    </row>
    <row r="16">
      <c r="A16" s="4" t="inlineStr">
        <is>
          <t>Epoka</t>
        </is>
      </c>
      <c r="B16" s="4" t="inlineStr">
        <is>
          <t>Pula (80% max)</t>
        </is>
      </c>
      <c r="C16" s="4" t="inlineStr">
        <is>
          <t>Koszt</t>
        </is>
      </c>
      <c r="D16" s="4" t="inlineStr">
        <is>
          <t>Ekw.</t>
        </is>
      </c>
      <c r="E16" s="4" t="inlineStr">
        <is>
          <t>Pkt rekr</t>
        </is>
      </c>
      <c r="F16" s="4" t="inlineStr">
        <is>
          <t>vs ep.1</t>
        </is>
      </c>
    </row>
    <row r="17">
      <c r="A17" t="n">
        <v>1</v>
      </c>
      <c r="B17">
        <f>ROUND($B$4*1000*0.8,0)</f>
        <v/>
      </c>
      <c r="C17" t="n">
        <v>100</v>
      </c>
      <c r="D17">
        <f>IF(C17=0,0,FLOOR(B17/C17,1))</f>
        <v/>
      </c>
      <c r="E17">
        <f>D17*$B$5</f>
        <v/>
      </c>
      <c r="F17" t="inlineStr">
        <is>
          <t>—</t>
        </is>
      </c>
    </row>
    <row r="18">
      <c r="A18" t="n">
        <v>2</v>
      </c>
      <c r="B18">
        <f>ROUND($B$4*2000*0.8,0)</f>
        <v/>
      </c>
      <c r="C18" t="n">
        <v>200</v>
      </c>
      <c r="D18">
        <f>IF(C18=0,0,FLOOR(B18/C18,1))</f>
        <v/>
      </c>
      <c r="E18">
        <f>D18*$B$5</f>
        <v/>
      </c>
      <c r="F18">
        <f>E18-E17</f>
        <v/>
      </c>
    </row>
    <row r="19">
      <c r="A19" t="n">
        <v>3</v>
      </c>
      <c r="B19">
        <f>ROUND($B$4*4000*0.8,0)</f>
        <v/>
      </c>
      <c r="C19" t="n">
        <v>400</v>
      </c>
      <c r="D19">
        <f>IF(C19=0,0,FLOOR(B19/C19,1))</f>
        <v/>
      </c>
      <c r="E19">
        <f>D19*$B$5</f>
        <v/>
      </c>
      <c r="F19">
        <f>E19-E17</f>
        <v/>
      </c>
    </row>
    <row r="20">
      <c r="A20" t="n">
        <v>4</v>
      </c>
      <c r="B20">
        <f>ROUND($B$4*8000*0.8,0)</f>
        <v/>
      </c>
      <c r="C20" t="n">
        <v>800</v>
      </c>
      <c r="D20">
        <f>IF(C20=0,0,FLOOR(B20/C20,1))</f>
        <v/>
      </c>
      <c r="E20">
        <f>D20*$B$5</f>
        <v/>
      </c>
      <c r="F20">
        <f>E20-E17</f>
        <v/>
      </c>
    </row>
    <row r="21">
      <c r="A21" t="n">
        <v>5</v>
      </c>
      <c r="B21">
        <f>ROUND($B$4*16000*0.8,0)</f>
        <v/>
      </c>
      <c r="C21" t="n">
        <v>1600</v>
      </c>
      <c r="D21">
        <f>IF(C21=0,0,FLOOR(B21/C21,1))</f>
        <v/>
      </c>
      <c r="E21">
        <f>D21*$B$5</f>
        <v/>
      </c>
      <c r="F21">
        <f>E21-E17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Ten sam ekw. mobilizacji — różna armia już na mapie (ep.3 · 10 ludków · 50% pula)</t>
        </is>
      </c>
    </row>
    <row r="3">
      <c r="A3" t="inlineStr">
        <is>
          <t>Epoka</t>
        </is>
      </c>
      <c r="B3" s="7" t="n">
        <v>3</v>
      </c>
    </row>
    <row r="4">
      <c r="A4" t="inlineStr">
        <is>
          <t>Ludki</t>
        </is>
      </c>
      <c r="B4" t="n">
        <v>10</v>
      </c>
    </row>
    <row r="5">
      <c r="A5" t="inlineStr">
        <is>
          <t>% puli</t>
        </is>
      </c>
      <c r="B5" s="7" t="n">
        <v>50</v>
      </c>
    </row>
    <row r="6">
      <c r="A6" t="inlineStr">
        <is>
          <t>Współcz.</t>
        </is>
      </c>
      <c r="B6" s="8" t="n">
        <v>10</v>
      </c>
    </row>
    <row r="7">
      <c r="A7" t="inlineStr">
        <is>
          <t>Koszt werbu (auto ep.3)</t>
        </is>
      </c>
      <c r="B7" t="n">
        <v>400</v>
      </c>
    </row>
    <row r="8">
      <c r="A8" t="inlineStr">
        <is>
          <t>Max rekruci (auto)</t>
        </is>
      </c>
      <c r="B8">
        <f>B4*4000</f>
        <v/>
      </c>
    </row>
    <row r="10">
      <c r="A10" s="4" t="inlineStr">
        <is>
          <t>Jedn. na mapie</t>
        </is>
      </c>
      <c r="B10" s="4" t="inlineStr">
        <is>
          <t>Ekw. z puli</t>
        </is>
      </c>
      <c r="C10" s="4" t="inlineStr">
        <is>
          <t>Pkt armia</t>
        </is>
      </c>
      <c r="D10" s="4" t="inlineStr">
        <is>
          <t>Pkt rekr</t>
        </is>
      </c>
      <c r="E10" s="4" t="inlineStr">
        <is>
          <t>Suma</t>
        </is>
      </c>
      <c r="F10" s="4" t="inlineStr">
        <is>
          <t>Armia %</t>
        </is>
      </c>
    </row>
    <row r="11">
      <c r="A11" s="7" t="n">
        <v>0</v>
      </c>
      <c r="B11">
        <f>IF(B7=0,0,FLOOR(ROUND(B8*B5/100,0)/B7,1))</f>
        <v/>
      </c>
      <c r="C11">
        <f>A11*$B$6</f>
        <v/>
      </c>
      <c r="D11">
        <f>B11*$B$6</f>
        <v/>
      </c>
      <c r="E11">
        <f>C11+D11</f>
        <v/>
      </c>
      <c r="F11" s="14">
        <f>IF(E11=0,0,C11/E11)</f>
        <v/>
      </c>
    </row>
    <row r="12">
      <c r="A12" s="7" t="n">
        <v>2</v>
      </c>
      <c r="B12">
        <f>IF(B7=0,0,FLOOR(ROUND(B8*B5/100,0)/B7,1))</f>
        <v/>
      </c>
      <c r="C12">
        <f>A12*$B$6</f>
        <v/>
      </c>
      <c r="D12">
        <f>B12*$B$6</f>
        <v/>
      </c>
      <c r="E12">
        <f>C12+D12</f>
        <v/>
      </c>
      <c r="F12" s="14">
        <f>IF(E12=0,0,C12/E12)</f>
        <v/>
      </c>
    </row>
    <row r="13">
      <c r="A13" s="7" t="n">
        <v>5</v>
      </c>
      <c r="B13">
        <f>IF(B7=0,0,FLOOR(ROUND(B8*B5/100,0)/B7,1))</f>
        <v/>
      </c>
      <c r="C13">
        <f>A13*$B$6</f>
        <v/>
      </c>
      <c r="D13">
        <f>B13*$B$6</f>
        <v/>
      </c>
      <c r="E13">
        <f>C13+D13</f>
        <v/>
      </c>
      <c r="F13" s="14">
        <f>IF(E13=0,0,C13/E13)</f>
        <v/>
      </c>
    </row>
    <row r="14">
      <c r="A14" s="7" t="n">
        <v>10</v>
      </c>
      <c r="B14">
        <f>IF(B7=0,0,FLOOR(ROUND(B8*B5/100,0)/B7,1))</f>
        <v/>
      </c>
      <c r="C14">
        <f>A14*$B$6</f>
        <v/>
      </c>
      <c r="D14">
        <f>B14*$B$6</f>
        <v/>
      </c>
      <c r="E14">
        <f>C14+D14</f>
        <v/>
      </c>
      <c r="F14" s="14">
        <f>IF(E14=0,0,C14/E14)</f>
        <v/>
      </c>
    </row>
    <row r="15">
      <c r="A15" s="7" t="n">
        <v>20</v>
      </c>
      <c r="B15">
        <f>IF(B7=0,0,FLOOR(ROUND(B8*B5/100,0)/B7,1))</f>
        <v/>
      </c>
      <c r="C15">
        <f>A15*$B$6</f>
        <v/>
      </c>
      <c r="D15">
        <f>B15*$B$6</f>
        <v/>
      </c>
      <c r="E15">
        <f>C15+D15</f>
        <v/>
      </c>
      <c r="F15" s="14">
        <f>IF(E15=0,0,C15/E15)</f>
        <v/>
      </c>
    </row>
    <row r="16">
      <c r="A16" s="7" t="n">
        <v>40</v>
      </c>
      <c r="B16">
        <f>IF(B7=0,0,FLOOR(ROUND(B8*B5/100,0)/B7,1))</f>
        <v/>
      </c>
      <c r="C16">
        <f>A16*$B$6</f>
        <v/>
      </c>
      <c r="D16">
        <f>B16*$B$6</f>
        <v/>
      </c>
      <c r="E16">
        <f>C16+D16</f>
        <v/>
      </c>
      <c r="F16" s="14">
        <f>IF(E16=0,0,C16/E16)</f>
        <v/>
      </c>
    </row>
    <row r="17">
      <c r="A17" s="7" t="n">
        <v>80</v>
      </c>
      <c r="B17">
        <f>IF(B7=0,0,FLOOR(ROUND(B8*B5/100,0)/B7,1))</f>
        <v/>
      </c>
      <c r="C17">
        <f>A17*$B$6</f>
        <v/>
      </c>
      <c r="D17">
        <f>B17*$B$6</f>
        <v/>
      </c>
      <c r="E17">
        <f>C17+D17</f>
        <v/>
      </c>
      <c r="F17" s="14">
        <f>IF(E17=0,0,C17/E17)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2026-06-29T13:22:04Z</dcterms:created>
  <dcterms:modified xmlns:dcterms="http://purl.org/dc/terms/" xmlns:xsi="http://www.w3.org/2001/XMLSchema-instance" xsi:type="dcterms:W3CDTF">2026-06-29T13:22:04Z</dcterms:modified>
</cp:coreProperties>
</file>