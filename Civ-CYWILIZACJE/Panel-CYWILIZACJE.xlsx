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IS" sheetId="1" state="visible" r:id="rId3"/>
    <sheet name="Cywilizacje" sheetId="2" state="visible" r:id="rId4"/>
    <sheet name="Bonusy cywilizacji" sheetId="3" state="visible" r:id="rId5"/>
    <sheet name="Nazwy klastrow" sheetId="4" state="visible" r:id="rId6"/>
    <sheet name="Respekt - wagi" sheetId="5" state="visible" r:id="rId7"/>
    <sheet name="Dyplomacja - parametry" sheetId="6" state="visible" r:id="rId8"/>
    <sheet name="Dyplomacja - zdarzenia" sheetId="7" state="visible" r:id="rId9"/>
    <sheet name="AI - archetypy" sheetId="8" state="visible" r:id="rId10"/>
    <sheet name="AI - progi decyzji" sheetId="9" state="visible" r:id="rId11"/>
    <sheet name="AI - trudnosc spryt" sheetId="10" state="visible" r:id="rId12"/>
    <sheet name="Barbarzyncy" sheetId="11" state="visible" r:id="rId13"/>
    <sheet name="Technologie - drzewko" sheetId="12" state="visible" r:id="rId14"/>
    <sheet name="Tempo gry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<sst xmlns="http://schemas.openxmlformats.org/spreadsheetml/2006/main" count="869" uniqueCount="581">
  <si>
    <t xml:space="preserve">Panel-CYWILIZACJE — Spis arkuszy i legenda kolorów</t>
  </si>
  <si>
    <t xml:space="preserve">NOTA: Panel przeglądowy lane CYWILIZACJE. Wartości = aktualny stan JSON/kodu (2026-06-26). Źródła eksportu (export-*.py → JSON) pozostają OSOBNO i nie są modyfikowane przez ten plik. Zastosowanie zmian = przez CYWILIZACJE → edycja JSON → przebudowa.</t>
  </si>
  <si>
    <t xml:space="preserve">Nr</t>
  </si>
  <si>
    <t xml:space="preserve">Arkusz</t>
  </si>
  <si>
    <t xml:space="preserve">Zawartość</t>
  </si>
  <si>
    <t xml:space="preserve">Liczba wierszy danych</t>
  </si>
  <si>
    <t xml:space="preserve">SPIS</t>
  </si>
  <si>
    <t xml:space="preserve">Ten arkusz — lista zakładek, legenda, nota</t>
  </si>
  <si>
    <t xml:space="preserve">—</t>
  </si>
  <si>
    <t xml:space="preserve">Cywilizacje</t>
  </si>
  <si>
    <t xml:space="preserve">9 nacji: typ, styl, j.specjalna, religia, archetyp, ikonaId, mnoznikHandelPieniadz</t>
  </si>
  <si>
    <t xml:space="preserve">9</t>
  </si>
  <si>
    <t xml:space="preserve">Bonusy cywilizacji</t>
  </si>
  <si>
    <t xml:space="preserve">27 bonusów (3×9 nacji): typ, cel, wartość, opis, realizuje</t>
  </si>
  <si>
    <t xml:space="preserve">27</t>
  </si>
  <si>
    <t xml:space="preserve">Nazwy klastrow</t>
  </si>
  <si>
    <t xml:space="preserve">9 nacji × 10 miast ([0]=stolica)</t>
  </si>
  <si>
    <t xml:space="preserve">9+nagłówek</t>
  </si>
  <si>
    <t xml:space="preserve">Respekt - wagi</t>
  </si>
  <si>
    <t xml:space="preserve">6 komponentów potęgi + suma + formuła ratio-share</t>
  </si>
  <si>
    <t xml:space="preserve">7</t>
  </si>
  <si>
    <t xml:space="preserve">Dyplomacja - parametry</t>
  </si>
  <si>
    <t xml:space="preserve">Progi, wartości startowe, mnożniki (z DIPLOMACY_PARAMS)</t>
  </si>
  <si>
    <t xml:space="preserve">30+</t>
  </si>
  <si>
    <t xml:space="preserve">Dyplomacja - zdarzenia</t>
  </si>
  <si>
    <t xml:space="preserve">Wszystkie eventy jednorazowe i per-turę z deltami dZ/dR</t>
  </si>
  <si>
    <t xml:space="preserve">22+</t>
  </si>
  <si>
    <t xml:space="preserve">AI - archetypy</t>
  </si>
  <si>
    <t xml:space="preserve">9 nacji: agresja, handel (ARCHETYPE_*) + priorytety wojsko/nauka/ekonomia/obrona</t>
  </si>
  <si>
    <t xml:space="preserve">AI - progi decyzji</t>
  </si>
  <si>
    <t xml:space="preserve">fight/flee (PROG_BITWA itd.) + dyplomacja (PROG_WOJNA_SILA itd.)</t>
  </si>
  <si>
    <t xml:space="preserve">10</t>
  </si>
  <si>
    <t xml:space="preserve">AI - trudnosc spryt</t>
  </si>
  <si>
    <t xml:space="preserve">Poziom 1/2/3: bonusProdukcja/Nauka/Walka/startoweJednostki/startoweMiasta/agresjaMnoznik/dyplomacjaAktywnosc/celObranie</t>
  </si>
  <si>
    <t xml:space="preserve">3</t>
  </si>
  <si>
    <t xml:space="preserve">Barbarzyncy</t>
  </si>
  <si>
    <t xml:space="preserve">Parametry barbarzyńców (ai-params.json §5)</t>
  </si>
  <si>
    <t xml:space="preserve">Technologie - drzewko</t>
  </si>
  <si>
    <t xml:space="preserve">Wszystkie technologie: epoka, poziom, prereq, koszt nauki</t>
  </si>
  <si>
    <t xml:space="preserve">30</t>
  </si>
  <si>
    <t xml:space="preserve">Tempo gry</t>
  </si>
  <si>
    <t xml:space="preserve">Mnożniki szybka/standardowa/długa</t>
  </si>
  <si>
    <t xml:space="preserve">LEGENDA KOLORÓW:</t>
  </si>
  <si>
    <t xml:space="preserve">   Żółte tło = wartości edytowalne (wagi, progi, stałe do strojenia)</t>
  </si>
  <si>
    <t xml:space="preserve">   Zielone tło = wyniki formuł (wyliczane automatycznie)</t>
  </si>
  <si>
    <t xml:space="preserve">   Niebieskie tło = dane AI / archetypy</t>
  </si>
  <si>
    <t xml:space="preserve">   Pomarańczowe tło = zdarzenia z deltą ujemną (kary)</t>
  </si>
  <si>
    <t xml:space="preserve">   Szare tło = dane pomocnicze / info</t>
  </si>
  <si>
    <t xml:space="preserve">Cywilizacja</t>
  </si>
  <si>
    <t xml:space="preserve">typCywilizacji</t>
  </si>
  <si>
    <t xml:space="preserve">Styl / charakter</t>
  </si>
  <si>
    <t xml:space="preserve">Jednostka specjalna</t>
  </si>
  <si>
    <t xml:space="preserve">Religia</t>
  </si>
  <si>
    <t xml:space="preserve">archetyp</t>
  </si>
  <si>
    <t xml:space="preserve">ikonaId</t>
  </si>
  <si>
    <t xml:space="preserve">mnoznikHandelPieniadz</t>
  </si>
  <si>
    <t xml:space="preserve">Grecy</t>
  </si>
  <si>
    <t xml:space="preserve">grecy</t>
  </si>
  <si>
    <t xml:space="preserve">defensywna piechota</t>
  </si>
  <si>
    <t xml:space="preserve">Falanga (Hoplita)</t>
  </si>
  <si>
    <t xml:space="preserve">Politeizm olimpijski</t>
  </si>
  <si>
    <t xml:space="preserve">Rzymianie</t>
  </si>
  <si>
    <t xml:space="preserve">rzymianie</t>
  </si>
  <si>
    <t xml:space="preserve">ofensywna piechota + inżynieria</t>
  </si>
  <si>
    <t xml:space="preserve">Legion (Legionista)</t>
  </si>
  <si>
    <t xml:space="preserve">Religia rzymska / kult państwa</t>
  </si>
  <si>
    <t xml:space="preserve">rzym</t>
  </si>
  <si>
    <t xml:space="preserve">Chińczycy</t>
  </si>
  <si>
    <t xml:space="preserve">chinczycy</t>
  </si>
  <si>
    <t xml:space="preserve">dystans + kawaleria</t>
  </si>
  <si>
    <t xml:space="preserve">Kusznik (lepszy łucznik)</t>
  </si>
  <si>
    <t xml:space="preserve">Konfucjanizm / Taoizm</t>
  </si>
  <si>
    <t xml:space="preserve">chiny</t>
  </si>
  <si>
    <t xml:space="preserve">Inkowie</t>
  </si>
  <si>
    <t xml:space="preserve">inkowie</t>
  </si>
  <si>
    <t xml:space="preserve">nauka/kultura + elitarna piechota</t>
  </si>
  <si>
    <t xml:space="preserve">Chaska / Królewska Gwardia</t>
  </si>
  <si>
    <t xml:space="preserve">Kult Słońca Inti</t>
  </si>
  <si>
    <t xml:space="preserve">Zulusi</t>
  </si>
  <si>
    <t xml:space="preserve">zulusi</t>
  </si>
  <si>
    <t xml:space="preserve">szybka, agresywna piechota</t>
  </si>
  <si>
    <t xml:space="preserve">Impi</t>
  </si>
  <si>
    <t xml:space="preserve">Kult przodków / animizm</t>
  </si>
  <si>
    <t xml:space="preserve">Egipt</t>
  </si>
  <si>
    <t xml:space="preserve">egipt</t>
  </si>
  <si>
    <t xml:space="preserve">rydwany + łucznicy dystansowi</t>
  </si>
  <si>
    <t xml:space="preserve">Medżaj (Gwardia Faraona)</t>
  </si>
  <si>
    <t xml:space="preserve">Religia egipska — faraon-bóg</t>
  </si>
  <si>
    <t xml:space="preserve">Sumerowie</t>
  </si>
  <si>
    <t xml:space="preserve">babilon</t>
  </si>
  <si>
    <t xml:space="preserve">ciężka piechota + łucznicy + rydwany</t>
  </si>
  <si>
    <t xml:space="preserve">Gwardia Królewska Sumeru</t>
  </si>
  <si>
    <t xml:space="preserve">Religia sumeryjska (Enlil/Anu)</t>
  </si>
  <si>
    <t xml:space="preserve">sumer</t>
  </si>
  <si>
    <t xml:space="preserve">sumerowie</t>
  </si>
  <si>
    <t xml:space="preserve">Celtowie</t>
  </si>
  <si>
    <t xml:space="preserve">celtowie</t>
  </si>
  <si>
    <t xml:space="preserve">agresywna piechota z bronią sieczną</t>
  </si>
  <si>
    <t xml:space="preserve">Miecznik galijski</t>
  </si>
  <si>
    <t xml:space="preserve">Religia celtycka (druidyzm)</t>
  </si>
  <si>
    <t xml:space="preserve">Germanie</t>
  </si>
  <si>
    <t xml:space="preserve">germanie</t>
  </si>
  <si>
    <t xml:space="preserve">piechota leśna; zasadzki i furia bojowa</t>
  </si>
  <si>
    <t xml:space="preserve">Wojownik germański (framea)</t>
  </si>
  <si>
    <t xml:space="preserve">Religia germańska (Wotan/Odyn)</t>
  </si>
  <si>
    <t xml:space="preserve">Nacja</t>
  </si>
  <si>
    <t xml:space="preserve">Typ bonusu</t>
  </si>
  <si>
    <t xml:space="preserve">Cel</t>
  </si>
  <si>
    <t xml:space="preserve">Wartość</t>
  </si>
  <si>
    <t xml:space="preserve">Opis</t>
  </si>
  <si>
    <t xml:space="preserve">Realizuje</t>
  </si>
  <si>
    <t xml:space="preserve">bonus_obrona</t>
  </si>
  <si>
    <t xml:space="preserve">piechota</t>
  </si>
  <si>
    <t xml:space="preserve">Falanga: +20% obrony piechoty przy ataku frontalnym</t>
  </si>
  <si>
    <t xml:space="preserve">walka</t>
  </si>
  <si>
    <t xml:space="preserve">jednostka_spec.</t>
  </si>
  <si>
    <t xml:space="preserve">Hoplita = ulepszona piechota z tarczą; silna od frontu</t>
  </si>
  <si>
    <t xml:space="preserve">bonus_zloto</t>
  </si>
  <si>
    <t xml:space="preserve">handel</t>
  </si>
  <si>
    <t xml:space="preserve">Morskie szlaki: +15% złota z portów i dróg morskich</t>
  </si>
  <si>
    <t xml:space="preserve">ekonomia</t>
  </si>
  <si>
    <t xml:space="preserve">bonus_walka</t>
  </si>
  <si>
    <t xml:space="preserve">Legion: +15% ataku i pancerza piechoty; dyscyplina +morale</t>
  </si>
  <si>
    <t xml:space="preserve">koszt_redukcja</t>
  </si>
  <si>
    <t xml:space="preserve">budynki</t>
  </si>
  <si>
    <t xml:space="preserve">Inżynieria: -20% kosztu Produkcji budowli; szybsza budowa dróg</t>
  </si>
  <si>
    <t xml:space="preserve">miasto</t>
  </si>
  <si>
    <t xml:space="preserve">Legionista = ciężka piechota z pilum; silny atak + pancerz</t>
  </si>
  <si>
    <t xml:space="preserve">lukownicy</t>
  </si>
  <si>
    <t xml:space="preserve">Kusznik: +20% ataku i zasięgu łuczników/kuszników</t>
  </si>
  <si>
    <t xml:space="preserve">kawaleria</t>
  </si>
  <si>
    <t xml:space="preserve">Konnica stepowa: +15% uderzenia kawalerii przy szarży</t>
  </si>
  <si>
    <t xml:space="preserve">dystans</t>
  </si>
  <si>
    <t xml:space="preserve">Kusznik</t>
  </si>
  <si>
    <t xml:space="preserve">Kusznik = silniejszy łucznik; większy zasięg i przebicie</t>
  </si>
  <si>
    <t xml:space="preserve">bonus_nauka</t>
  </si>
  <si>
    <t xml:space="preserve">wszystko</t>
  </si>
  <si>
    <t xml:space="preserve">Kalendarz słoneczny: +15% produkcji punktów nauki</t>
  </si>
  <si>
    <t xml:space="preserve">Teren górski: +20% walki w lesie i dżungli</t>
  </si>
  <si>
    <t xml:space="preserve">Chaska / Kr. Gwardia</t>
  </si>
  <si>
    <t xml:space="preserve">Chaska = elitarna piechota; Królewska Gwardia = oddziały prest.</t>
  </si>
  <si>
    <t xml:space="preserve">Ruch i morale: +20% prędkości piechoty; formacja buffalo</t>
  </si>
  <si>
    <t xml:space="preserve">Tania rekrutacja: koszt rekrutacji Impi -10%</t>
  </si>
  <si>
    <t xml:space="preserve">Impi = szybka piechota z assegai; silna w zmasowanym ataku</t>
  </si>
  <si>
    <t xml:space="preserve">Łucznicy na rydwanach: +20% ataku dystansowego</t>
  </si>
  <si>
    <t xml:space="preserve">rydwany</t>
  </si>
  <si>
    <t xml:space="preserve">Szybkie rydwany: +15% prędkości i zasięgu ataku rydwanów</t>
  </si>
  <si>
    <t xml:space="preserve">Medżaj</t>
  </si>
  <si>
    <t xml:space="preserve">Medżaj = elitarna gwardia; ochrona centrum miasta</t>
  </si>
  <si>
    <t xml:space="preserve">Ciężka piechota: +20% obrony i HP (pancerz brązowy + tarcza)</t>
  </si>
  <si>
    <t xml:space="preserve">Ciężkie rydwany: +15% HP i obrony rydwanów</t>
  </si>
  <si>
    <t xml:space="preserve">Gwardia Kr. Sumeru</t>
  </si>
  <si>
    <t xml:space="preserve">Gwardia Królewska = szczyt ciężkiej piechoty; +obrona miasta</t>
  </si>
  <si>
    <t xml:space="preserve">Brawura szarży: +25% ataku piechoty przy pierwszym uderzeniu</t>
  </si>
  <si>
    <t xml:space="preserve">Długi miecz galijski: +15% Uderzenia</t>
  </si>
  <si>
    <t xml:space="preserve">Miecznik galijski = wojownik z długim mieczem; silny w szarży</t>
  </si>
  <si>
    <t xml:space="preserve">Zasadzka leśna: +25% ataku w lesie lub przy pierwszym ciosie</t>
  </si>
  <si>
    <t xml:space="preserve">Furia bojowa: +15% ataku na starciu (bonus morale)</t>
  </si>
  <si>
    <t xml:space="preserve">Wojownik germ.(framea)</t>
  </si>
  <si>
    <t xml:space="preserve">Framea = włócznia germańska; celny rzut + walka wręcz</t>
  </si>
  <si>
    <t xml:space="preserve">Miasto [0] (stolica)</t>
  </si>
  <si>
    <t xml:space="preserve">Miasto [1]</t>
  </si>
  <si>
    <t xml:space="preserve">Miasto [2]</t>
  </si>
  <si>
    <t xml:space="preserve">Miasto [3]</t>
  </si>
  <si>
    <t xml:space="preserve">Miasto [4]</t>
  </si>
  <si>
    <t xml:space="preserve">Miasto [5]</t>
  </si>
  <si>
    <t xml:space="preserve">Miasto [6]</t>
  </si>
  <si>
    <t xml:space="preserve">Miasto [7]</t>
  </si>
  <si>
    <t xml:space="preserve">Miasto [8]</t>
  </si>
  <si>
    <t xml:space="preserve">Miasto [9]</t>
  </si>
  <si>
    <t xml:space="preserve">Ateny</t>
  </si>
  <si>
    <t xml:space="preserve">Sparta</t>
  </si>
  <si>
    <t xml:space="preserve">Korynt</t>
  </si>
  <si>
    <t xml:space="preserve">Teby</t>
  </si>
  <si>
    <t xml:space="preserve">Argos</t>
  </si>
  <si>
    <t xml:space="preserve">Mykeny</t>
  </si>
  <si>
    <t xml:space="preserve">Milet</t>
  </si>
  <si>
    <t xml:space="preserve">Rodos</t>
  </si>
  <si>
    <t xml:space="preserve">Syrakuzy</t>
  </si>
  <si>
    <t xml:space="preserve">Delfy</t>
  </si>
  <si>
    <t xml:space="preserve">Rzym</t>
  </si>
  <si>
    <t xml:space="preserve">Ostia</t>
  </si>
  <si>
    <t xml:space="preserve">Kapua</t>
  </si>
  <si>
    <t xml:space="preserve">Pompeje</t>
  </si>
  <si>
    <t xml:space="preserve">Tarent</t>
  </si>
  <si>
    <t xml:space="preserve">Mediolan</t>
  </si>
  <si>
    <t xml:space="preserve">Akwileja</t>
  </si>
  <si>
    <t xml:space="preserve">Rawenna</t>
  </si>
  <si>
    <t xml:space="preserve">Weje</t>
  </si>
  <si>
    <t xml:space="preserve">Ancjum</t>
  </si>
  <si>
    <t xml:space="preserve">Qin</t>
  </si>
  <si>
    <t xml:space="preserve">Qi</t>
  </si>
  <si>
    <t xml:space="preserve">Chu</t>
  </si>
  <si>
    <t xml:space="preserve">Jin</t>
  </si>
  <si>
    <t xml:space="preserve">Yan</t>
  </si>
  <si>
    <t xml:space="preserve">Zhao</t>
  </si>
  <si>
    <t xml:space="preserve">Wei</t>
  </si>
  <si>
    <t xml:space="preserve">Han</t>
  </si>
  <si>
    <t xml:space="preserve">Lu</t>
  </si>
  <si>
    <t xml:space="preserve">Song</t>
  </si>
  <si>
    <t xml:space="preserve">Cusco</t>
  </si>
  <si>
    <t xml:space="preserve">Machu Picchu</t>
  </si>
  <si>
    <t xml:space="preserve">Ollantaytambo</t>
  </si>
  <si>
    <t xml:space="preserve">Pisac</t>
  </si>
  <si>
    <t xml:space="preserve">Sacsayhuamán</t>
  </si>
  <si>
    <t xml:space="preserve">Vilcabamba</t>
  </si>
  <si>
    <t xml:space="preserve">Cajamarca</t>
  </si>
  <si>
    <t xml:space="preserve">Tambo Colorado</t>
  </si>
  <si>
    <t xml:space="preserve">Quito</t>
  </si>
  <si>
    <t xml:space="preserve">Tumbes</t>
  </si>
  <si>
    <t xml:space="preserve">uMgungundlovu</t>
  </si>
  <si>
    <t xml:space="preserve">Ondini</t>
  </si>
  <si>
    <t xml:space="preserve">Ulundi</t>
  </si>
  <si>
    <t xml:space="preserve">kwaBulawayo</t>
  </si>
  <si>
    <t xml:space="preserve">eMakhosini</t>
  </si>
  <si>
    <t xml:space="preserve">Nobamba</t>
  </si>
  <si>
    <t xml:space="preserve">Nodwengu</t>
  </si>
  <si>
    <t xml:space="preserve">kwaDukuza</t>
  </si>
  <si>
    <t xml:space="preserve">Mahlabathini</t>
  </si>
  <si>
    <t xml:space="preserve">Babanango</t>
  </si>
  <si>
    <t xml:space="preserve">Memfis</t>
  </si>
  <si>
    <t xml:space="preserve">Heliopolis</t>
  </si>
  <si>
    <t xml:space="preserve">Abydos</t>
  </si>
  <si>
    <t xml:space="preserve">Nekhen</t>
  </si>
  <si>
    <t xml:space="preserve">Elefantyna</t>
  </si>
  <si>
    <t xml:space="preserve">Sais</t>
  </si>
  <si>
    <t xml:space="preserve">Bubastis</t>
  </si>
  <si>
    <t xml:space="preserve">Edfu</t>
  </si>
  <si>
    <t xml:space="preserve">Dendera</t>
  </si>
  <si>
    <t xml:space="preserve">Uruk</t>
  </si>
  <si>
    <t xml:space="preserve">Ur</t>
  </si>
  <si>
    <t xml:space="preserve">Lagasz</t>
  </si>
  <si>
    <t xml:space="preserve">Kisz</t>
  </si>
  <si>
    <t xml:space="preserve">Nippur</t>
  </si>
  <si>
    <t xml:space="preserve">Eridu</t>
  </si>
  <si>
    <t xml:space="preserve">Umma</t>
  </si>
  <si>
    <t xml:space="preserve">Larsa</t>
  </si>
  <si>
    <t xml:space="preserve">Adab</t>
  </si>
  <si>
    <t xml:space="preserve">Isin</t>
  </si>
  <si>
    <t xml:space="preserve">Bibracte</t>
  </si>
  <si>
    <t xml:space="preserve">Gergowia</t>
  </si>
  <si>
    <t xml:space="preserve">Alezja</t>
  </si>
  <si>
    <t xml:space="preserve">Avaricum</t>
  </si>
  <si>
    <t xml:space="preserve">Uxellodunum</t>
  </si>
  <si>
    <t xml:space="preserve">Manching</t>
  </si>
  <si>
    <t xml:space="preserve">Numancja</t>
  </si>
  <si>
    <t xml:space="preserve">Stradonice</t>
  </si>
  <si>
    <t xml:space="preserve">Závist</t>
  </si>
  <si>
    <t xml:space="preserve">Heuneburg</t>
  </si>
  <si>
    <t xml:space="preserve">Mattium</t>
  </si>
  <si>
    <t xml:space="preserve">Feddersen Wierde</t>
  </si>
  <si>
    <t xml:space="preserve">Hodde</t>
  </si>
  <si>
    <t xml:space="preserve">Grøntoft</t>
  </si>
  <si>
    <t xml:space="preserve">Flögeln</t>
  </si>
  <si>
    <t xml:space="preserve">Wijster</t>
  </si>
  <si>
    <t xml:space="preserve">Ezinge</t>
  </si>
  <si>
    <t xml:space="preserve">Jastorf</t>
  </si>
  <si>
    <t xml:space="preserve">Gamla Uppsala</t>
  </si>
  <si>
    <t xml:space="preserve">Tofting</t>
  </si>
  <si>
    <t xml:space="preserve">Komponent Potęgi</t>
  </si>
  <si>
    <t xml:space="preserve">Waga (%)</t>
  </si>
  <si>
    <t xml:space="preserve">Klucz JSON</t>
  </si>
  <si>
    <t xml:space="preserve">Wielkość armii (absolutna liczba jednostek bojowych)</t>
  </si>
  <si>
    <t xml:space="preserve">Główny sygnał hard power — widoczna siła militarna. Dominuje bo Respekt = strach.</t>
  </si>
  <si>
    <t xml:space="preserve">wielkoscArmii</t>
  </si>
  <si>
    <t xml:space="preserve">Wygrane bitwy (historia bojowa, skumulowana)</t>
  </si>
  <si>
    <t xml:space="preserve">Kumulatywna historia zwycięstw; trudno podrobić.</t>
  </si>
  <si>
    <t xml:space="preserve">wygraneBitwy</t>
  </si>
  <si>
    <t xml:space="preserve">Ludność (mieszkańcy/jednostki w miastach)</t>
  </si>
  <si>
    <t xml:space="preserve">Potencjał mobilizacyjny — więcej ludności = więcej rekrutów i siły roboczej.</t>
  </si>
  <si>
    <t xml:space="preserve">ludnosc</t>
  </si>
  <si>
    <t xml:space="preserve">Liczba miast i kontrolowane terytorium</t>
  </si>
  <si>
    <t xml:space="preserve">Większe imperium = więcej zasobów i zdolności produkcyjnych.</t>
  </si>
  <si>
    <t xml:space="preserve">miasta</t>
  </si>
  <si>
    <t xml:space="preserve">Gospodarka (skarbiec/dochód)</t>
  </si>
  <si>
    <t xml:space="preserve">Bogata nacja finansuje wojnę i łapówki dyplomatyczne.</t>
  </si>
  <si>
    <t xml:space="preserve">gospodarka</t>
  </si>
  <si>
    <t xml:space="preserve">Epoka / postęp technologiczny</t>
  </si>
  <si>
    <t xml:space="preserve">Wyższa epoka = lepsza technologia wojskowa (Kamień=0, Brąz=0.5, Żelazo=1.0).</t>
  </si>
  <si>
    <t xml:space="preserve">epoka</t>
  </si>
  <si>
    <t xml:space="preserve">SUMA WAG →</t>
  </si>
  <si>
    <t xml:space="preserve">Militaria (armia+bitwy) = 48%. Formuła Respektu: ratio-share = round(100 × potęga_self / (potęga_self + potęga_partner))</t>
  </si>
  <si>
    <t xml:space="preserve">Formuła Respektu (ratio-share, zaimplementowana w diplomacy.ts):</t>
  </si>
  <si>
    <t xml:space="preserve">Respekt = round(100 × potęga_self / (potęga_self + potęga_partner))</t>
  </si>
  <si>
    <t xml:space="preserve">Guard: jeśli suma = 0 → 50 (parytet). Clamp: [0, 100]. Asymetria: R(A,B) + R(B,A) = 100.</t>
  </si>
  <si>
    <t xml:space="preserve">Parametr</t>
  </si>
  <si>
    <t xml:space="preserve">--- WARTOŚCI STARTOWE ---</t>
  </si>
  <si>
    <t xml:space="preserve">startZaufanie</t>
  </si>
  <si>
    <t xml:space="preserve">Bazowe Zaufanie przy pierwszym kontakcie</t>
  </si>
  <si>
    <t xml:space="preserve">startRespekt</t>
  </si>
  <si>
    <t xml:space="preserve">Bazowe Respekt przy pierwszym kontakcie</t>
  </si>
  <si>
    <t xml:space="preserve">--- PROGI AKCJI DYPLOMATYCZNYCH ---</t>
  </si>
  <si>
    <t xml:space="preserve">progSojuszZaufanie</t>
  </si>
  <si>
    <t xml:space="preserve">Zaufanie ≥ 60 wymagane dla Sojuszu wojskowego</t>
  </si>
  <si>
    <t xml:space="preserve">progWymianaTechZaufanie</t>
  </si>
  <si>
    <t xml:space="preserve">Zaufanie ≥ 70 wymagane dla Wymiany technologii</t>
  </si>
  <si>
    <t xml:space="preserve">progWasalizacjaRespekt</t>
  </si>
  <si>
    <t xml:space="preserve">Respekt ≥ 70 do żądania wasalizacji</t>
  </si>
  <si>
    <t xml:space="preserve">progWchloniecieRespekt</t>
  </si>
  <si>
    <t xml:space="preserve">Respekt ≥ 90 do żądania wchłonięcia</t>
  </si>
  <si>
    <t xml:space="preserve">progMinimalnyRelacja</t>
  </si>
  <si>
    <t xml:space="preserve">Relacja &lt; 30 = dyplomacja prawie niemożliwa</t>
  </si>
  <si>
    <t xml:space="preserve">progSojuszRelacja</t>
  </si>
  <si>
    <t xml:space="preserve">Relacja ≥ 120 = sojusze osiągalne</t>
  </si>
  <si>
    <t xml:space="preserve">--- MNOŻNIKI GLOBALNE ---</t>
  </si>
  <si>
    <t xml:space="preserve">mnoznikZaufania</t>
  </si>
  <si>
    <t xml:space="preserve">Globalny mnożnik dynamiki Zaufania</t>
  </si>
  <si>
    <t xml:space="preserve">mnoznikRespektu</t>
  </si>
  <si>
    <t xml:space="preserve">Globalny mnożnik dynamiki Respektu</t>
  </si>
  <si>
    <t xml:space="preserve">mnoznikPodarunku</t>
  </si>
  <si>
    <t xml:space="preserve">Wpływ podarunku (+50% = 1.5)</t>
  </si>
  <si>
    <t xml:space="preserve">turyEfektuPodarunku</t>
  </si>
  <si>
    <t xml:space="preserve">Ile tur trwa efekt +1 Zaufanie/turę po podarunku</t>
  </si>
  <si>
    <t xml:space="preserve">--- POBOCZNE CYWILIZACJE ---</t>
  </si>
  <si>
    <t xml:space="preserve">progPoboczneAkceptacja</t>
  </si>
  <si>
    <t xml:space="preserve">Respekt &gt; 60 → poboczna akceptuje żądania gracza</t>
  </si>
  <si>
    <t xml:space="preserve">progPoboczneHandel</t>
  </si>
  <si>
    <t xml:space="preserve">Relacja &gt; 30 → poboczna chętnie handluje</t>
  </si>
  <si>
    <t xml:space="preserve">progPoboczneWojna</t>
  </si>
  <si>
    <t xml:space="preserve">Relacja &lt; 15 → poboczna może wypowiedzieć wojnę</t>
  </si>
  <si>
    <t xml:space="preserve">--- DYPLOMACJA AI (ai-params.json) ---</t>
  </si>
  <si>
    <t xml:space="preserve">dyplomacja_strach_prog_nap</t>
  </si>
  <si>
    <t xml:space="preserve">Respekt gracza wobec AI po którym AI proponuje NAP/trybut</t>
  </si>
  <si>
    <t xml:space="preserve">dyplomacja_relacja_startowa_rywale</t>
  </si>
  <si>
    <t xml:space="preserve">Startowa korekta Relacji dla rywali tego samego archetypu</t>
  </si>
  <si>
    <t xml:space="preserve">dyplomacja_relacja_prog_wojna</t>
  </si>
  <si>
    <t xml:space="preserve">Relacja ≤ wartość → poboczna może wypowiedzieć wojnę</t>
  </si>
  <si>
    <t xml:space="preserve">dyplomacja_max_propozycji_ture</t>
  </si>
  <si>
    <t xml:space="preserve">Max propozycji dyplomatycznych AI do gracza/turę</t>
  </si>
  <si>
    <t xml:space="preserve">dyplomacja_zdrowie_armii_pokoj</t>
  </si>
  <si>
    <t xml:space="preserve">HP armii AI (% startowego) poniżej którego AI proponuje pokój</t>
  </si>
  <si>
    <t xml:space="preserve">ai_wycofanie_hp_prog</t>
  </si>
  <si>
    <t xml:space="preserve">HP jednostki AI (% startowego) poniżej którego wycofuje się</t>
  </si>
  <si>
    <t xml:space="preserve">Zdarzenie / Działanie</t>
  </si>
  <si>
    <t xml:space="preserve">Δ Zaufanie</t>
  </si>
  <si>
    <t xml:space="preserve">Δ Respekt</t>
  </si>
  <si>
    <t xml:space="preserve">Typ</t>
  </si>
  <si>
    <t xml:space="preserve">Uwagi</t>
  </si>
  <si>
    <t xml:space="preserve">Zawarcie umowy handlowej</t>
  </si>
  <si>
    <t xml:space="preserve">Zaufanie</t>
  </si>
  <si>
    <t xml:space="preserve">jednorazowo</t>
  </si>
  <si>
    <t xml:space="preserve">Bonus przy podpisaniu nowej umowy handlowej</t>
  </si>
  <si>
    <t xml:space="preserve">Pomoc w wojnie sojusznikowi</t>
  </si>
  <si>
    <t xml:space="preserve">Bonus po zakończeniu wspólnej kampanii</t>
  </si>
  <si>
    <t xml:space="preserve">Wspólny wróg — nawiązanie kooperacji</t>
  </si>
  <si>
    <t xml:space="preserve">+5 Zaufanie + +10 Respekt przy ustanowieniu wspólnego wroga</t>
  </si>
  <si>
    <t xml:space="preserve">Podarunek surowca / Pieniądza</t>
  </si>
  <si>
    <t xml:space="preserve">Darmowy dar bez wymiany wzajemnej</t>
  </si>
  <si>
    <t xml:space="preserve">Wymiana technologii gratis</t>
  </si>
  <si>
    <t xml:space="preserve">Bezpłatna wymiana technologii</t>
  </si>
  <si>
    <t xml:space="preserve">Oferta trybutu przyjęta przez AI</t>
  </si>
  <si>
    <t xml:space="preserve">Payer avoids attack; +5 Zaufanie</t>
  </si>
  <si>
    <t xml:space="preserve">Pokój (akceptacja traktatu)</t>
  </si>
  <si>
    <t xml:space="preserve">Po akceptacji traktatu pokojowego</t>
  </si>
  <si>
    <t xml:space="preserve">Wygrana bitwa</t>
  </si>
  <si>
    <t xml:space="preserve">Respekt</t>
  </si>
  <si>
    <t xml:space="preserve">Każda wygrana bitwa + historia bojowa</t>
  </si>
  <si>
    <t xml:space="preserve">Znacząca przewaga militarna</t>
  </si>
  <si>
    <t xml:space="preserve">Przy przekroczeniu progu siły 2× lub 5×</t>
  </si>
  <si>
    <t xml:space="preserve">Akceptacja żądania trybutu</t>
  </si>
  <si>
    <t xml:space="preserve">Skok Respektu przy akceptacji trybutu</t>
  </si>
  <si>
    <t xml:space="preserve">Złamany pakt przez gracza</t>
  </si>
  <si>
    <t xml:space="preserve">Kara; info rozchodzi się do sąsiadów (-5 u każdego)</t>
  </si>
  <si>
    <t xml:space="preserve">Złamany pakt przez AI</t>
  </si>
  <si>
    <t xml:space="preserve">Gracz traci Zaufanie do tej cywilizacji</t>
  </si>
  <si>
    <t xml:space="preserve">Zdrada / atak z zaskoczenia</t>
  </si>
  <si>
    <t xml:space="preserve">Flaga 'agresor'; kara reputacyjna globalna</t>
  </si>
  <si>
    <t xml:space="preserve">Szpiegostwo wykryte</t>
  </si>
  <si>
    <t xml:space="preserve">Gdy szpieg gracza zostaje schwytany</t>
  </si>
  <si>
    <t xml:space="preserve">Rywalizacja tego samego typu</t>
  </si>
  <si>
    <t xml:space="preserve">Startowa korekta przy inicjalizacji mapy</t>
  </si>
  <si>
    <t xml:space="preserve">Duża różnica kulturowa</t>
  </si>
  <si>
    <t xml:space="preserve">Bazowe tarcia między różnymi archetypalnie cywilizacjami</t>
  </si>
  <si>
    <t xml:space="preserve">Gracz słabszy militarnie</t>
  </si>
  <si>
    <t xml:space="preserve">Respekt spada; AI staje się asertywniejsze</t>
  </si>
  <si>
    <t xml:space="preserve">Wypowiedzenie wojny bez casus belli</t>
  </si>
  <si>
    <t xml:space="preserve">−20 Zaufanie + status: 'wojna'</t>
  </si>
  <si>
    <t xml:space="preserve">Wypowiedzenie wojny z casus belli</t>
  </si>
  <si>
    <t xml:space="preserve">−10 Zaufanie (łagodniejsza kara)</t>
  </si>
  <si>
    <t xml:space="preserve">Ultimatum spełnione (adresat traci)</t>
  </si>
  <si>
    <t xml:space="preserve">Adresat traci Zaufanie do gracza</t>
  </si>
  <si>
    <t xml:space="preserve">Ultimatum bezpodstawne</t>
  </si>
  <si>
    <t xml:space="preserve">Oba</t>
  </si>
  <si>
    <t xml:space="preserve">−10 Zaufanie + −10 Respekt (AI wyśmiewa)</t>
  </si>
  <si>
    <t xml:space="preserve">Odmowa trybutu</t>
  </si>
  <si>
    <t xml:space="preserve">Możliwy casus belli</t>
  </si>
  <si>
    <t xml:space="preserve">Zerwanie umowy handlowej</t>
  </si>
  <si>
    <t xml:space="preserve">−10 Zaufanie (szablon §1.5: −15 Relacja)</t>
  </si>
  <si>
    <t xml:space="preserve">Aktywny handel (umowa trwa)</t>
  </si>
  <si>
    <t xml:space="preserve">co turę</t>
  </si>
  <si>
    <t xml:space="preserve">+1/turę przez czas umowy handlowej</t>
  </si>
  <si>
    <t xml:space="preserve">Aktywny pakt NAP / sojusz</t>
  </si>
  <si>
    <t xml:space="preserve">+1/turę przez czas paktu</t>
  </si>
  <si>
    <t xml:space="preserve">Efekt dobrej woli (podarunek)</t>
  </si>
  <si>
    <t xml:space="preserve">+1/turę przez kilka tur po podarunku</t>
  </si>
  <si>
    <t xml:space="preserve">Wspólny wróg (kooperacja trwa)</t>
  </si>
  <si>
    <t xml:space="preserve">+1/turę przez czas kooperacji</t>
  </si>
  <si>
    <t xml:space="preserve">Wspólna religia</t>
  </si>
  <si>
    <t xml:space="preserve">+0.5/turę biernie; max +15 kumulacyjnie</t>
  </si>
  <si>
    <t xml:space="preserve">Odmienna religia</t>
  </si>
  <si>
    <t xml:space="preserve">−0.5/turę biernie; max −10 kumulacyjnie</t>
  </si>
  <si>
    <t xml:space="preserve">Ekspansja przy granicy</t>
  </si>
  <si>
    <t xml:space="preserve">−2/turę przy osadnictwie/wojskach przy granicy</t>
  </si>
  <si>
    <t xml:space="preserve">Urazy historyczne (zanikające)</t>
  </si>
  <si>
    <t xml:space="preserve">−2/turę; zanika co 20 tur; trwała korekta za ataki/aneksje</t>
  </si>
  <si>
    <t xml:space="preserve">ARCHETYPE_AGGRESSION</t>
  </si>
  <si>
    <t xml:space="preserve">ARCHETYPE_TRADE</t>
  </si>
  <si>
    <t xml:space="preserve">Δ Priorytet
Wojsko</t>
  </si>
  <si>
    <t xml:space="preserve">Δ Priorytet
Nauka</t>
  </si>
  <si>
    <t xml:space="preserve">Δ Priorytet
Ekonomia</t>
  </si>
  <si>
    <t xml:space="preserve">Δ Priorytet
Obrona</t>
  </si>
  <si>
    <t xml:space="preserve">Charakter</t>
  </si>
  <si>
    <t xml:space="preserve">Średnia agresja; wysoki handel; nauka równorzędna z wojskiem</t>
  </si>
  <si>
    <t xml:space="preserve">Wysoka agresja; średni handel; +1 wojsko</t>
  </si>
  <si>
    <t xml:space="preserve">Niska agresja; bardzo wysoki handel; nacisk nauka+ekonomia</t>
  </si>
  <si>
    <t xml:space="preserve">Średnia agresja; niski handel; izolacjonizm; +1 obrona</t>
  </si>
  <si>
    <t xml:space="preserve">Bardzo wysoka agresja; niski handel; wojsko #1 zawsze</t>
  </si>
  <si>
    <t xml:space="preserve">Niższa agresja; wysoki handel; +1 ekonomia i kultura</t>
  </si>
  <si>
    <t xml:space="preserve">Niska agresja; wysoki handel; nauka #1 zawsze</t>
  </si>
  <si>
    <t xml:space="preserve">Wysoka agresja; niski handel; wojsko+obrona (oppida)</t>
  </si>
  <si>
    <t xml:space="preserve">Wysoka agresja; niski handel; furia bojowa; gospodarka plem.</t>
  </si>
  <si>
    <t xml:space="preserve">Stała (z ai.ts)</t>
  </si>
  <si>
    <t xml:space="preserve">Źródło</t>
  </si>
  <si>
    <t xml:space="preserve">Opis / zastosowanie</t>
  </si>
  <si>
    <t xml:space="preserve">--- PROGI WALKI JEDNOSTEK ---</t>
  </si>
  <si>
    <t xml:space="preserve">PROG_BITWA</t>
  </si>
  <si>
    <t xml:space="preserve">ai.ts const</t>
  </si>
  <si>
    <t xml:space="preserve">Min. ratio siłaAI/siłaGracza do decyzji 'bitwa' (przed korektą agresji)</t>
  </si>
  <si>
    <t xml:space="preserve">PROG_FLEE</t>
  </si>
  <si>
    <t xml:space="preserve">Ratio poniżej którego jednostka ucieka (domyślny próg dla flee)</t>
  </si>
  <si>
    <t xml:space="preserve">WARTOSC_PROG_OBS</t>
  </si>
  <si>
    <t xml:space="preserve">Jeśli wartoscJednostkiAI/silaGracza &gt; 0.5 → 'cenna', korekta +warta</t>
  </si>
  <si>
    <t xml:space="preserve">AGRESJA_AGRESYWNY_PROG</t>
  </si>
  <si>
    <t xml:space="preserve">Próg agresji przy którym AI atakuje nawet przy gorszym ratio</t>
  </si>
  <si>
    <t xml:space="preserve">AGRESJA_WPLYW</t>
  </si>
  <si>
    <t xml:space="preserve">O ile agresja zmniejsza prog efektywny (progEff = PROG_BITWA - agresja×0.3)</t>
  </si>
  <si>
    <t xml:space="preserve">--- PROGI DYPLOMACJI AI ---</t>
  </si>
  <si>
    <t xml:space="preserve">PROG_WOJNA_SILA</t>
  </si>
  <si>
    <t xml:space="preserve">Względny Respekt ≥ 0.6 + agresja ≥ PROG_WOJNA_AGRESJA → wypowiedzenie wojny</t>
  </si>
  <si>
    <t xml:space="preserve">PROG_WOJNA_AGRESJA</t>
  </si>
  <si>
    <t xml:space="preserve">Agresja archetypu ≥ 0.5 wymagana do wypowiedzenia wojny</t>
  </si>
  <si>
    <t xml:space="preserve">PROG_TRYBUT</t>
  </si>
  <si>
    <t xml:space="preserve">Względny Respekt ≥ 0.7 → AI może żądać trybutu</t>
  </si>
  <si>
    <t xml:space="preserve">PROG_POKOJ_SLABOSC</t>
  </si>
  <si>
    <t xml:space="preserve">Względny Respekt ≤ 0.4 → AI proponuje pokój (słabość)</t>
  </si>
  <si>
    <t xml:space="preserve">PROG_SOJUSZ</t>
  </si>
  <si>
    <t xml:space="preserve">willingnessAlly ≥ 0.6 → AI inicjuje propozycję sojuszu</t>
  </si>
  <si>
    <t xml:space="preserve">PROG_HANDEL</t>
  </si>
  <si>
    <t xml:space="preserve">willingnessTrade ≥ 0.5 → AI inicjuje propozycję handlu</t>
  </si>
  <si>
    <t xml:space="preserve">Poziom 1
(Prosty)</t>
  </si>
  <si>
    <t xml:space="preserve">Poziom 2
(Normalny)</t>
  </si>
  <si>
    <t xml:space="preserve">Poziom 3
(Trudny)</t>
  </si>
  <si>
    <t xml:space="preserve">bonusProdukcja</t>
  </si>
  <si>
    <t xml:space="preserve">Bonus do produkcji Pracy AI (+0% / +10% / +25%)</t>
  </si>
  <si>
    <t xml:space="preserve">bonusNauka</t>
  </si>
  <si>
    <t xml:space="preserve">Bonus punktów Nauki/turę AI (0 / +1 / 0)</t>
  </si>
  <si>
    <t xml:space="preserve">startoweJednostki</t>
  </si>
  <si>
    <t xml:space="preserve">Dodatkowe jednostki startowe AI (0 / 1 / 0)</t>
  </si>
  <si>
    <t xml:space="preserve">startoweMiasta</t>
  </si>
  <si>
    <t xml:space="preserve">Dodatkowe miasta startowe AI (0 / 0 / 1)</t>
  </si>
  <si>
    <t xml:space="preserve">bonusWalka</t>
  </si>
  <si>
    <t xml:space="preserve">Bonus % do statystyk walki jednostek AI (0 / 0 / +5%)</t>
  </si>
  <si>
    <t xml:space="preserve">agresjaMnoznik</t>
  </si>
  <si>
    <t xml:space="preserve">Mnożnik agresji AI (≤1 łagodny / 1.0 normalny / 1.2 agresywny)</t>
  </si>
  <si>
    <t xml:space="preserve">dyplomacjaAktywnosc</t>
  </si>
  <si>
    <t xml:space="preserve">Aktywność dyplomatyczna AI (0.8 pasywny / 1.0 / 1.25 bardzo aktywny)</t>
  </si>
  <si>
    <t xml:space="preserve">celObranie</t>
  </si>
  <si>
    <t xml:space="preserve">Spryt obierania celów (0=brak / 0.5=częściowy / 1.0=pełny spryt)</t>
  </si>
  <si>
    <t xml:space="preserve">Parametr (ai-params.json)</t>
  </si>
  <si>
    <t xml:space="preserve">barbarzyncy_start_tura</t>
  </si>
  <si>
    <t xml:space="preserve">Pierwsza tura od której barbarzyńcy są aktywni (spawny/ruch)</t>
  </si>
  <si>
    <t xml:space="preserve">barbarzyncy_max_obozy</t>
  </si>
  <si>
    <t xml:space="preserve">Maksymalna liczba obozów barbarzyńskich na mapie naraz</t>
  </si>
  <si>
    <t xml:space="preserve">barbarzyncy_min_dystans_miasto</t>
  </si>
  <si>
    <t xml:space="preserve">Min. odległość (heks) nowego obozu od dowolnego miasta</t>
  </si>
  <si>
    <t xml:space="preserve">barbarzyncy_odstep_obozow</t>
  </si>
  <si>
    <t xml:space="preserve">Min. odległość (heks) między obozami</t>
  </si>
  <si>
    <t xml:space="preserve">barbarzyncy_interwal_spawnu</t>
  </si>
  <si>
    <t xml:space="preserve">Co ile tur obóz tworzy jednostkę (reset po spawnie)</t>
  </si>
  <si>
    <t xml:space="preserve">barbarzyncy_jednostek_na_oboz</t>
  </si>
  <si>
    <t xml:space="preserve">Limit żywych barbarzyńców liczony w promieniu kontroli obozu</t>
  </si>
  <si>
    <t xml:space="preserve">barbarzyncy_zasieg_kontroli</t>
  </si>
  <si>
    <t xml:space="preserve">Promień (heks) liczenia jednostek należących do obozu (limit)</t>
  </si>
  <si>
    <t xml:space="preserve">barbarzyncy_zasieg_agresji</t>
  </si>
  <si>
    <t xml:space="preserve">Goni cele w tym promieniu; dalej bezczynny przy obozie</t>
  </si>
  <si>
    <t xml:space="preserve">barbarzyncy_prog_odwrotu_hp</t>
  </si>
  <si>
    <t xml:space="preserve">Ułamek HP poniżej którego jednostka wraca do obozu</t>
  </si>
  <si>
    <t xml:space="preserve">Technologia</t>
  </si>
  <si>
    <t xml:space="preserve">Epoka</t>
  </si>
  <si>
    <t xml:space="preserve">Poziom</t>
  </si>
  <si>
    <t xml:space="preserve">Wymaga (prereq)</t>
  </si>
  <si>
    <t xml:space="preserve">Koszt nauki
(standardowe)</t>
  </si>
  <si>
    <t xml:space="preserve">Odblokowuje budynek/jedn.</t>
  </si>
  <si>
    <t xml:space="preserve">Obróbka drewna</t>
  </si>
  <si>
    <t xml:space="preserve">Kamień</t>
  </si>
  <si>
    <t xml:space="preserve">Tartak, Mielerz</t>
  </si>
  <si>
    <t xml:space="preserve">Garncarstwo</t>
  </si>
  <si>
    <t xml:space="preserve">Spichlerz, Cegielnia, Garncarz</t>
  </si>
  <si>
    <t xml:space="preserve">Murarstwo</t>
  </si>
  <si>
    <t xml:space="preserve">Mury, Kopalnia</t>
  </si>
  <si>
    <t xml:space="preserve">Łucznictwo</t>
  </si>
  <si>
    <t xml:space="preserve">Łucznik</t>
  </si>
  <si>
    <t xml:space="preserve">Oswojenie zwierząt</t>
  </si>
  <si>
    <t xml:space="preserve">Pasterstwo</t>
  </si>
  <si>
    <t xml:space="preserve">Mistycyzm</t>
  </si>
  <si>
    <t xml:space="preserve">Świątynia</t>
  </si>
  <si>
    <t xml:space="preserve">Wymiana</t>
  </si>
  <si>
    <t xml:space="preserve">Targowisko</t>
  </si>
  <si>
    <t xml:space="preserve">Gospodarka wodna</t>
  </si>
  <si>
    <t xml:space="preserve">Studnia / Łaźnia</t>
  </si>
  <si>
    <t xml:space="preserve">Koło</t>
  </si>
  <si>
    <t xml:space="preserve">Rydwan, Drogi</t>
  </si>
  <si>
    <t xml:space="preserve">Brązownictwo</t>
  </si>
  <si>
    <t xml:space="preserve">Huta, brąz, jednostki brązowe</t>
  </si>
  <si>
    <t xml:space="preserve">kończy Epokę 1</t>
  </si>
  <si>
    <t xml:space="preserve">Żegluga</t>
  </si>
  <si>
    <t xml:space="preserve">Brąz</t>
  </si>
  <si>
    <t xml:space="preserve">Statki, Port</t>
  </si>
  <si>
    <t xml:space="preserve">Pismo</t>
  </si>
  <si>
    <t xml:space="preserve">Biblioteka</t>
  </si>
  <si>
    <t xml:space="preserve">Jeździectwo</t>
  </si>
  <si>
    <t xml:space="preserve">Koło + Brązownictwo</t>
  </si>
  <si>
    <t xml:space="preserve">Konnica</t>
  </si>
  <si>
    <t xml:space="preserve">Wojskowość</t>
  </si>
  <si>
    <t xml:space="preserve">Koszary</t>
  </si>
  <si>
    <t xml:space="preserve">Matematyka</t>
  </si>
  <si>
    <t xml:space="preserve">(prereq Budownictwa)</t>
  </si>
  <si>
    <t xml:space="preserve">Handel</t>
  </si>
  <si>
    <t xml:space="preserve">Drogi handlowe → Waluta</t>
  </si>
  <si>
    <t xml:space="preserve">Prawo (Kodeks)</t>
  </si>
  <si>
    <t xml:space="preserve">Porządek / Sądy</t>
  </si>
  <si>
    <t xml:space="preserve">Budownictwo</t>
  </si>
  <si>
    <t xml:space="preserve">Matematyka + Murarstwo</t>
  </si>
  <si>
    <t xml:space="preserve">Akwedukt</t>
  </si>
  <si>
    <t xml:space="preserve">Waluta</t>
  </si>
  <si>
    <t xml:space="preserve">Handel + Matematyka</t>
  </si>
  <si>
    <t xml:space="preserve">Pieniądz, Targowisko, Mennica</t>
  </si>
  <si>
    <t xml:space="preserve">kończy Epokę 2 (Pieniądz)</t>
  </si>
  <si>
    <t xml:space="preserve">Obróbka żelaza</t>
  </si>
  <si>
    <t xml:space="preserve">Żelazo</t>
  </si>
  <si>
    <t xml:space="preserve">Kuźnia żelaza</t>
  </si>
  <si>
    <t xml:space="preserve">kończy Epokę 2 / otwiera Epokę 3</t>
  </si>
  <si>
    <t xml:space="preserve">Inżynieria</t>
  </si>
  <si>
    <t xml:space="preserve">Akwedukt (ulepszony), Fort</t>
  </si>
  <si>
    <t xml:space="preserve">Fort +100% obrona obozowanie</t>
  </si>
  <si>
    <t xml:space="preserve">Oblężnictwo</t>
  </si>
  <si>
    <t xml:space="preserve">Matematyka + Wojskowość</t>
  </si>
  <si>
    <t xml:space="preserve">Warsztat oblężniczy</t>
  </si>
  <si>
    <t xml:space="preserve">Katapulta, Taran, Wieża oblężnicza</t>
  </si>
  <si>
    <t xml:space="preserve">Filozofia</t>
  </si>
  <si>
    <t xml:space="preserve">Pismo + Religia</t>
  </si>
  <si>
    <t xml:space="preserve">Akademia, Teatr</t>
  </si>
  <si>
    <t xml:space="preserve">Kodeks prawa</t>
  </si>
  <si>
    <t xml:space="preserve">Prawo (Kodeks) + Pismo</t>
  </si>
  <si>
    <t xml:space="preserve">Sąd, Pretorium</t>
  </si>
  <si>
    <t xml:space="preserve">Drogi żelazne</t>
  </si>
  <si>
    <t xml:space="preserve">Inżynieria + Obróbka żelaza</t>
  </si>
  <si>
    <t xml:space="preserve">Drogi brukowane</t>
  </si>
  <si>
    <t xml:space="preserve">+ruch, +handel między miastami</t>
  </si>
  <si>
    <t xml:space="preserve">Medycyna</t>
  </si>
  <si>
    <t xml:space="preserve">Filozofia + Gospodarka wodna</t>
  </si>
  <si>
    <t xml:space="preserve">Łaźnia publiczna, Lazaret</t>
  </si>
  <si>
    <t xml:space="preserve">zadowolenie++, zdrowie++, HP regen</t>
  </si>
  <si>
    <t xml:space="preserve">Hutnictwo żelaza</t>
  </si>
  <si>
    <t xml:space="preserve">Obróbka żelaza + Inżynieria</t>
  </si>
  <si>
    <t xml:space="preserve">Wielka Kuźnia</t>
  </si>
  <si>
    <t xml:space="preserve">stal prereq; produkcja++</t>
  </si>
  <si>
    <t xml:space="preserve">Sztuka wojenna</t>
  </si>
  <si>
    <t xml:space="preserve">Oblężnictwo + Obróbka żelaza</t>
  </si>
  <si>
    <t xml:space="preserve">Akademia wojskowa</t>
  </si>
  <si>
    <t xml:space="preserve">kończy Epokę 3 (cap v0.1)</t>
  </si>
  <si>
    <t xml:space="preserve">Tryb gry</t>
  </si>
  <si>
    <t xml:space="preserve">Mnożnik kosztu</t>
  </si>
  <si>
    <t xml:space="preserve">Przykład (tech koszt=100)</t>
  </si>
  <si>
    <t xml:space="preserve">szybka</t>
  </si>
  <si>
    <t xml:space="preserve">Koszt badań × 0.2 = 20 pkt; błyskawiczna rozgrywka</t>
  </si>
  <si>
    <t xml:space="preserve">standardowa</t>
  </si>
  <si>
    <t xml:space="preserve">Koszt badań × 1.0 = 100 pkt; domyślna</t>
  </si>
  <si>
    <t xml:space="preserve">dluga</t>
  </si>
  <si>
    <t xml:space="preserve">Koszt badań × 5.0 = 500 pkt; epiczna rozgrywka</t>
  </si>
  <si>
    <t xml:space="preserve">Źródło: data/tech.json → tempo_gry; funkcja applyTempoKoszt() w src/game/tech-tempo.ts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</si>
</sst>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C55A11"/>
        <bgColor rgb="FF993300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34.5" hidden="false" customHeight="true" outlineLevel="0" collapsed="false">
      <c r="A2" s="2" t="s">
        <v>1</v>
      </c>
      <c r="B2" s="2"/>
      <c r="C2" s="2"/>
      <c r="D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9.5" hidden="false" customHeight="true" outlineLevel="0" collapsed="false">
      <c r="A5" s="4" t="n">
        <v>1</v>
      </c>
      <c r="B5" s="4" t="s">
        <v>6</v>
      </c>
      <c r="C5" s="4" t="s">
        <v>7</v>
      </c>
      <c r="D5" s="4" t="s">
        <v>8</v>
      </c>
    </row>
    <row r="6" customFormat="false" ht="19.5" hidden="false" customHeight="true" outlineLevel="0" collapsed="false">
      <c r="A6" s="4" t="n">
        <v>2</v>
      </c>
      <c r="B6" s="4" t="s">
        <v>9</v>
      </c>
      <c r="C6" s="4" t="s">
        <v>10</v>
      </c>
      <c r="D6" s="4" t="s">
        <v>11</v>
      </c>
    </row>
    <row r="7" customFormat="false" ht="19.5" hidden="false" customHeight="true" outlineLevel="0" collapsed="false">
      <c r="A7" s="4" t="n">
        <v>3</v>
      </c>
      <c r="B7" s="4" t="s">
        <v>12</v>
      </c>
      <c r="C7" s="4" t="s">
        <v>13</v>
      </c>
      <c r="D7" s="4" t="s">
        <v>14</v>
      </c>
    </row>
    <row r="8" customFormat="false" ht="19.5" hidden="false" customHeight="true" outlineLevel="0" collapsed="false">
      <c r="A8" s="4" t="n">
        <v>4</v>
      </c>
      <c r="B8" s="4" t="s">
        <v>15</v>
      </c>
      <c r="C8" s="4" t="s">
        <v>16</v>
      </c>
      <c r="D8" s="4" t="s">
        <v>17</v>
      </c>
    </row>
    <row r="9" customFormat="false" ht="19.5" hidden="false" customHeight="true" outlineLevel="0" collapsed="false">
      <c r="A9" s="4" t="n">
        <v>5</v>
      </c>
      <c r="B9" s="4" t="s">
        <v>18</v>
      </c>
      <c r="C9" s="4" t="s">
        <v>19</v>
      </c>
      <c r="D9" s="4" t="s">
        <v>20</v>
      </c>
    </row>
    <row r="10" customFormat="false" ht="19.5" hidden="false" customHeight="true" outlineLevel="0" collapsed="false">
      <c r="A10" s="4" t="n">
        <v>6</v>
      </c>
      <c r="B10" s="4" t="s">
        <v>21</v>
      </c>
      <c r="C10" s="4" t="s">
        <v>22</v>
      </c>
      <c r="D10" s="4" t="s">
        <v>23</v>
      </c>
    </row>
    <row r="11" customFormat="false" ht="19.5" hidden="false" customHeight="true" outlineLevel="0" collapsed="false">
      <c r="A11" s="4" t="n">
        <v>7</v>
      </c>
      <c r="B11" s="4" t="s">
        <v>24</v>
      </c>
      <c r="C11" s="4" t="s">
        <v>25</v>
      </c>
      <c r="D11" s="4" t="s">
        <v>26</v>
      </c>
    </row>
    <row r="12" customFormat="false" ht="19.5" hidden="false" customHeight="true" outlineLevel="0" collapsed="false">
      <c r="A12" s="4" t="n">
        <v>8</v>
      </c>
      <c r="B12" s="4" t="s">
        <v>27</v>
      </c>
      <c r="C12" s="4" t="s">
        <v>28</v>
      </c>
      <c r="D12" s="4" t="s">
        <v>11</v>
      </c>
    </row>
    <row r="13" customFormat="false" ht="19.5" hidden="false" customHeight="true" outlineLevel="0" collapsed="false">
      <c r="A13" s="4" t="n">
        <v>9</v>
      </c>
      <c r="B13" s="4" t="s">
        <v>29</v>
      </c>
      <c r="C13" s="4" t="s">
        <v>30</v>
      </c>
      <c r="D13" s="4" t="s">
        <v>31</v>
      </c>
    </row>
    <row r="14" customFormat="false" ht="19.5" hidden="false" customHeight="true" outlineLevel="0" collapsed="false">
      <c r="A14" s="4" t="n">
        <v>10</v>
      </c>
      <c r="B14" s="4" t="s">
        <v>32</v>
      </c>
      <c r="C14" s="4" t="s">
        <v>33</v>
      </c>
      <c r="D14" s="4" t="s">
        <v>34</v>
      </c>
    </row>
    <row r="15" customFormat="false" ht="19.5" hidden="false" customHeight="true" outlineLevel="0" collapsed="false">
      <c r="A15" s="4" t="n">
        <v>11</v>
      </c>
      <c r="B15" s="4" t="s">
        <v>35</v>
      </c>
      <c r="C15" s="4" t="s">
        <v>36</v>
      </c>
      <c r="D15" s="4" t="s">
        <v>31</v>
      </c>
    </row>
    <row r="16" customFormat="false" ht="19.5" hidden="false" customHeight="true" outlineLevel="0" collapsed="false">
      <c r="A16" s="4" t="n">
        <v>12</v>
      </c>
      <c r="B16" s="4" t="s">
        <v>37</v>
      </c>
      <c r="C16" s="4" t="s">
        <v>38</v>
      </c>
      <c r="D16" s="4" t="s">
        <v>39</v>
      </c>
    </row>
    <row r="17" customFormat="false" ht="19.5" hidden="false" customHeight="true" outlineLevel="0" collapsed="false">
      <c r="A17" s="4" t="n">
        <v>13</v>
      </c>
      <c r="B17" s="4" t="s">
        <v>40</v>
      </c>
      <c r="C17" s="4" t="s">
        <v>41</v>
      </c>
      <c r="D17" s="4" t="s">
        <v>34</v>
      </c>
    </row>
    <row r="21" customFormat="false" ht="15" hidden="false" customHeight="false" outlineLevel="0" collapsed="false">
      <c r="A21" s="5" t="s">
        <v>42</v>
      </c>
    </row>
    <row r="22" customFormat="false" ht="15" hidden="false" customHeight="false" outlineLevel="0" collapsed="false">
      <c r="A22" s="6" t="s">
        <v>43</v>
      </c>
      <c r="B22" s="6"/>
      <c r="C22" s="6"/>
      <c r="D22" s="6"/>
    </row>
    <row r="23" customFormat="false" ht="15" hidden="false" customHeight="false" outlineLevel="0" collapsed="false">
      <c r="A23" s="7" t="s">
        <v>44</v>
      </c>
      <c r="B23" s="7"/>
      <c r="C23" s="7"/>
      <c r="D23" s="7"/>
    </row>
    <row r="24" customFormat="false" ht="15" hidden="false" customHeight="false" outlineLevel="0" collapsed="false">
      <c r="A24" s="8" t="s">
        <v>45</v>
      </c>
      <c r="B24" s="8"/>
      <c r="C24" s="8"/>
      <c r="D24" s="8"/>
    </row>
    <row r="25" customFormat="false" ht="15" hidden="false" customHeight="false" outlineLevel="0" collapsed="false">
      <c r="A25" s="9" t="s">
        <v>46</v>
      </c>
      <c r="B25" s="9"/>
      <c r="C25" s="9"/>
      <c r="D25" s="9"/>
    </row>
    <row r="26" customFormat="false" ht="15" hidden="false" customHeight="false" outlineLevel="0" collapsed="false">
      <c r="A26" s="10" t="s">
        <v>47</v>
      </c>
      <c r="B26" s="10"/>
      <c r="C26" s="10"/>
      <c r="D26" s="10"/>
    </row>
  </sheetData>
  <mergeCells count="7">
    <mergeCell ref="A1:D1"/>
    <mergeCell ref="A2:D2"/>
    <mergeCell ref="A22:D22"/>
    <mergeCell ref="A23:D23"/>
    <mergeCell ref="A24:D24"/>
    <mergeCell ref="A25:D25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8"/>
    <col collapsed="false" customWidth="true" hidden="false" outlineLevel="0" max="4" min="4" style="0" width="25"/>
    <col collapsed="false" customWidth="true" hidden="false" outlineLevel="0" max="5" min="5" style="0" width="28"/>
    <col collapsed="false" customWidth="true" hidden="false" outlineLevel="0" max="7" min="6" style="0" width="14"/>
    <col collapsed="false" customWidth="true" hidden="false" outlineLevel="0" max="8" min="8" style="0" width="22"/>
  </cols>
  <sheetData>
    <row r="1" customFormat="false" ht="15" hidden="false" customHeight="false" outlineLevel="0" collapsed="false">
      <c r="A1" s="3" t="s">
        <v>48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  <c r="G1" s="3" t="s">
        <v>54</v>
      </c>
      <c r="H1" s="3" t="s">
        <v>55</v>
      </c>
    </row>
    <row r="2" customFormat="false" ht="21.75" hidden="false" customHeight="true" outlineLevel="0" collapsed="false">
      <c r="A2" s="4" t="s">
        <v>56</v>
      </c>
      <c r="B2" s="4" t="s">
        <v>57</v>
      </c>
      <c r="C2" s="4" t="s">
        <v>58</v>
      </c>
      <c r="D2" s="4" t="s">
        <v>59</v>
      </c>
      <c r="E2" s="4" t="s">
        <v>60</v>
      </c>
      <c r="F2" s="4" t="s">
        <v>57</v>
      </c>
      <c r="G2" s="4" t="s">
        <v>57</v>
      </c>
      <c r="H2" s="11" t="n">
        <v>2.3</v>
      </c>
    </row>
    <row r="3" customFormat="false" ht="21.75" hidden="false" customHeight="true" outlineLevel="0" collapsed="false">
      <c r="A3" s="4" t="s">
        <v>61</v>
      </c>
      <c r="B3" s="4" t="s">
        <v>62</v>
      </c>
      <c r="C3" s="4" t="s">
        <v>63</v>
      </c>
      <c r="D3" s="4" t="s">
        <v>64</v>
      </c>
      <c r="E3" s="4" t="s">
        <v>65</v>
      </c>
      <c r="F3" s="4" t="s">
        <v>66</v>
      </c>
      <c r="G3" s="4" t="s">
        <v>62</v>
      </c>
      <c r="H3" s="11" t="n">
        <v>2</v>
      </c>
    </row>
    <row r="4" customFormat="false" ht="21.75" hidden="false" customHeight="true" outlineLevel="0" collapsed="false">
      <c r="A4" s="4" t="s">
        <v>67</v>
      </c>
      <c r="B4" s="4" t="s">
        <v>68</v>
      </c>
      <c r="C4" s="4" t="s">
        <v>69</v>
      </c>
      <c r="D4" s="4" t="s">
        <v>70</v>
      </c>
      <c r="E4" s="4" t="s">
        <v>71</v>
      </c>
      <c r="F4" s="4" t="s">
        <v>72</v>
      </c>
      <c r="G4" s="4" t="s">
        <v>68</v>
      </c>
      <c r="H4" s="11" t="n">
        <v>2.4</v>
      </c>
    </row>
    <row r="5" customFormat="false" ht="21.75" hidden="false" customHeight="true" outlineLevel="0" collapsed="false">
      <c r="A5" s="4" t="s">
        <v>73</v>
      </c>
      <c r="B5" s="4" t="s">
        <v>74</v>
      </c>
      <c r="C5" s="4" t="s">
        <v>75</v>
      </c>
      <c r="D5" s="4" t="s">
        <v>76</v>
      </c>
      <c r="E5" s="4" t="s">
        <v>77</v>
      </c>
      <c r="F5" s="4" t="s">
        <v>74</v>
      </c>
      <c r="G5" s="4" t="s">
        <v>74</v>
      </c>
      <c r="H5" s="11" t="n">
        <v>1.9</v>
      </c>
    </row>
    <row r="6" customFormat="false" ht="21.75" hidden="false" customHeight="true" outlineLevel="0" collapsed="false">
      <c r="A6" s="4" t="s">
        <v>78</v>
      </c>
      <c r="B6" s="4" t="s">
        <v>79</v>
      </c>
      <c r="C6" s="4" t="s">
        <v>80</v>
      </c>
      <c r="D6" s="4" t="s">
        <v>81</v>
      </c>
      <c r="E6" s="4" t="s">
        <v>82</v>
      </c>
      <c r="F6" s="4" t="s">
        <v>79</v>
      </c>
      <c r="G6" s="4" t="s">
        <v>79</v>
      </c>
      <c r="H6" s="11" t="n">
        <v>1.8</v>
      </c>
    </row>
    <row r="7" customFormat="false" ht="21.75" hidden="false" customHeight="true" outlineLevel="0" collapsed="false">
      <c r="A7" s="4" t="s">
        <v>83</v>
      </c>
      <c r="B7" s="4" t="s">
        <v>84</v>
      </c>
      <c r="C7" s="4" t="s">
        <v>85</v>
      </c>
      <c r="D7" s="4" t="s">
        <v>86</v>
      </c>
      <c r="E7" s="4" t="s">
        <v>87</v>
      </c>
      <c r="F7" s="4" t="s">
        <v>84</v>
      </c>
      <c r="G7" s="4" t="s">
        <v>84</v>
      </c>
      <c r="H7" s="11" t="n">
        <v>2.1</v>
      </c>
    </row>
    <row r="8" customFormat="false" ht="21.75" hidden="false" customHeight="true" outlineLevel="0" collapsed="false">
      <c r="A8" s="4" t="s">
        <v>88</v>
      </c>
      <c r="B8" s="4" t="s">
        <v>89</v>
      </c>
      <c r="C8" s="4" t="s">
        <v>90</v>
      </c>
      <c r="D8" s="4" t="s">
        <v>91</v>
      </c>
      <c r="E8" s="4" t="s">
        <v>92</v>
      </c>
      <c r="F8" s="4" t="s">
        <v>93</v>
      </c>
      <c r="G8" s="4" t="s">
        <v>94</v>
      </c>
      <c r="H8" s="11" t="n">
        <v>2.2</v>
      </c>
    </row>
    <row r="9" customFormat="false" ht="21.75" hidden="false" customHeight="true" outlineLevel="0" collapsed="false">
      <c r="A9" s="4" t="s">
        <v>95</v>
      </c>
      <c r="B9" s="4" t="s">
        <v>96</v>
      </c>
      <c r="C9" s="4" t="s">
        <v>97</v>
      </c>
      <c r="D9" s="4" t="s">
        <v>98</v>
      </c>
      <c r="E9" s="4" t="s">
        <v>99</v>
      </c>
      <c r="F9" s="4" t="s">
        <v>96</v>
      </c>
      <c r="G9" s="4" t="s">
        <v>96</v>
      </c>
      <c r="H9" s="11" t="n">
        <v>1.9</v>
      </c>
    </row>
    <row r="10" customFormat="false" ht="21.75" hidden="false" customHeight="true" outlineLevel="0" collapsed="false">
      <c r="A10" s="4" t="s">
        <v>100</v>
      </c>
      <c r="B10" s="4" t="s">
        <v>101</v>
      </c>
      <c r="C10" s="4" t="s">
        <v>102</v>
      </c>
      <c r="D10" s="4" t="s">
        <v>103</v>
      </c>
      <c r="E10" s="4" t="s">
        <v>104</v>
      </c>
      <c r="F10" s="4" t="s">
        <v>101</v>
      </c>
      <c r="G10" s="4" t="s">
        <v>101</v>
      </c>
      <c r="H10" s="11" t="n">
        <v>1.7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55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3" t="s">
        <v>105</v>
      </c>
      <c r="B1" s="3" t="s">
        <v>106</v>
      </c>
      <c r="C1" s="3" t="s">
        <v>107</v>
      </c>
      <c r="D1" s="3" t="s">
        <v>108</v>
      </c>
      <c r="E1" s="3" t="s">
        <v>109</v>
      </c>
      <c r="F1" s="3" t="s">
        <v>110</v>
      </c>
    </row>
    <row r="2" customFormat="false" ht="21.75" hidden="false" customHeight="true" outlineLevel="0" collapsed="false">
      <c r="A2" s="12" t="s">
        <v>56</v>
      </c>
      <c r="B2" s="12" t="s">
        <v>111</v>
      </c>
      <c r="C2" s="12" t="s">
        <v>112</v>
      </c>
      <c r="D2" s="11" t="n">
        <v>0.2</v>
      </c>
      <c r="E2" s="12" t="s">
        <v>113</v>
      </c>
      <c r="F2" s="12" t="s">
        <v>114</v>
      </c>
    </row>
    <row r="3" customFormat="false" ht="21.75" hidden="false" customHeight="true" outlineLevel="0" collapsed="false">
      <c r="A3" s="12" t="s">
        <v>56</v>
      </c>
      <c r="B3" s="12" t="s">
        <v>115</v>
      </c>
      <c r="C3" s="12" t="s">
        <v>112</v>
      </c>
      <c r="D3" s="11" t="s">
        <v>59</v>
      </c>
      <c r="E3" s="12" t="s">
        <v>116</v>
      </c>
      <c r="F3" s="12" t="s">
        <v>114</v>
      </c>
    </row>
    <row r="4" customFormat="false" ht="21.75" hidden="false" customHeight="true" outlineLevel="0" collapsed="false">
      <c r="A4" s="13" t="s">
        <v>56</v>
      </c>
      <c r="B4" s="13" t="s">
        <v>117</v>
      </c>
      <c r="C4" s="13" t="s">
        <v>118</v>
      </c>
      <c r="D4" s="11" t="n">
        <v>0.15</v>
      </c>
      <c r="E4" s="13" t="s">
        <v>119</v>
      </c>
      <c r="F4" s="13" t="s">
        <v>120</v>
      </c>
    </row>
    <row r="5" customFormat="false" ht="21.75" hidden="false" customHeight="true" outlineLevel="0" collapsed="false">
      <c r="A5" s="12" t="s">
        <v>61</v>
      </c>
      <c r="B5" s="12" t="s">
        <v>121</v>
      </c>
      <c r="C5" s="12" t="s">
        <v>112</v>
      </c>
      <c r="D5" s="11" t="n">
        <v>0.15</v>
      </c>
      <c r="E5" s="12" t="s">
        <v>122</v>
      </c>
      <c r="F5" s="12" t="s">
        <v>114</v>
      </c>
    </row>
    <row r="6" customFormat="false" ht="21.75" hidden="false" customHeight="true" outlineLevel="0" collapsed="false">
      <c r="A6" s="14" t="s">
        <v>61</v>
      </c>
      <c r="B6" s="14" t="s">
        <v>123</v>
      </c>
      <c r="C6" s="14" t="s">
        <v>124</v>
      </c>
      <c r="D6" s="11" t="n">
        <v>0.2</v>
      </c>
      <c r="E6" s="14" t="s">
        <v>125</v>
      </c>
      <c r="F6" s="14" t="s">
        <v>126</v>
      </c>
    </row>
    <row r="7" customFormat="false" ht="21.75" hidden="false" customHeight="true" outlineLevel="0" collapsed="false">
      <c r="A7" s="12" t="s">
        <v>61</v>
      </c>
      <c r="B7" s="12" t="s">
        <v>115</v>
      </c>
      <c r="C7" s="12" t="s">
        <v>112</v>
      </c>
      <c r="D7" s="11" t="s">
        <v>64</v>
      </c>
      <c r="E7" s="12" t="s">
        <v>127</v>
      </c>
      <c r="F7" s="12" t="s">
        <v>114</v>
      </c>
    </row>
    <row r="8" customFormat="false" ht="21.75" hidden="false" customHeight="true" outlineLevel="0" collapsed="false">
      <c r="A8" s="12" t="s">
        <v>67</v>
      </c>
      <c r="B8" s="12" t="s">
        <v>121</v>
      </c>
      <c r="C8" s="12" t="s">
        <v>128</v>
      </c>
      <c r="D8" s="11" t="n">
        <v>0.2</v>
      </c>
      <c r="E8" s="12" t="s">
        <v>129</v>
      </c>
      <c r="F8" s="12" t="s">
        <v>114</v>
      </c>
    </row>
    <row r="9" customFormat="false" ht="21.75" hidden="false" customHeight="true" outlineLevel="0" collapsed="false">
      <c r="A9" s="12" t="s">
        <v>67</v>
      </c>
      <c r="B9" s="12" t="s">
        <v>121</v>
      </c>
      <c r="C9" s="12" t="s">
        <v>130</v>
      </c>
      <c r="D9" s="11" t="n">
        <v>0.15</v>
      </c>
      <c r="E9" s="12" t="s">
        <v>131</v>
      </c>
      <c r="F9" s="12" t="s">
        <v>114</v>
      </c>
    </row>
    <row r="10" customFormat="false" ht="21.75" hidden="false" customHeight="true" outlineLevel="0" collapsed="false">
      <c r="A10" s="12" t="s">
        <v>67</v>
      </c>
      <c r="B10" s="12" t="s">
        <v>115</v>
      </c>
      <c r="C10" s="12" t="s">
        <v>132</v>
      </c>
      <c r="D10" s="11" t="s">
        <v>133</v>
      </c>
      <c r="E10" s="12" t="s">
        <v>134</v>
      </c>
      <c r="F10" s="12" t="s">
        <v>114</v>
      </c>
    </row>
    <row r="11" customFormat="false" ht="21.75" hidden="false" customHeight="true" outlineLevel="0" collapsed="false">
      <c r="A11" s="13" t="s">
        <v>73</v>
      </c>
      <c r="B11" s="13" t="s">
        <v>135</v>
      </c>
      <c r="C11" s="13" t="s">
        <v>136</v>
      </c>
      <c r="D11" s="11" t="n">
        <v>0.15</v>
      </c>
      <c r="E11" s="13" t="s">
        <v>137</v>
      </c>
      <c r="F11" s="13" t="s">
        <v>120</v>
      </c>
    </row>
    <row r="12" customFormat="false" ht="21.75" hidden="false" customHeight="true" outlineLevel="0" collapsed="false">
      <c r="A12" s="12" t="s">
        <v>73</v>
      </c>
      <c r="B12" s="12" t="s">
        <v>121</v>
      </c>
      <c r="C12" s="12" t="s">
        <v>112</v>
      </c>
      <c r="D12" s="11" t="n">
        <v>0.2</v>
      </c>
      <c r="E12" s="12" t="s">
        <v>138</v>
      </c>
      <c r="F12" s="12" t="s">
        <v>114</v>
      </c>
    </row>
    <row r="13" customFormat="false" ht="21.75" hidden="false" customHeight="true" outlineLevel="0" collapsed="false">
      <c r="A13" s="12" t="s">
        <v>73</v>
      </c>
      <c r="B13" s="12" t="s">
        <v>115</v>
      </c>
      <c r="C13" s="12" t="s">
        <v>112</v>
      </c>
      <c r="D13" s="11" t="s">
        <v>139</v>
      </c>
      <c r="E13" s="12" t="s">
        <v>140</v>
      </c>
      <c r="F13" s="12" t="s">
        <v>114</v>
      </c>
    </row>
    <row r="14" customFormat="false" ht="21.75" hidden="false" customHeight="true" outlineLevel="0" collapsed="false">
      <c r="A14" s="12" t="s">
        <v>78</v>
      </c>
      <c r="B14" s="12" t="s">
        <v>121</v>
      </c>
      <c r="C14" s="12" t="s">
        <v>112</v>
      </c>
      <c r="D14" s="11" t="n">
        <v>0.2</v>
      </c>
      <c r="E14" s="12" t="s">
        <v>141</v>
      </c>
      <c r="F14" s="12" t="s">
        <v>114</v>
      </c>
    </row>
    <row r="15" customFormat="false" ht="21.75" hidden="false" customHeight="true" outlineLevel="0" collapsed="false">
      <c r="A15" s="13" t="s">
        <v>78</v>
      </c>
      <c r="B15" s="13" t="s">
        <v>121</v>
      </c>
      <c r="C15" s="13" t="s">
        <v>112</v>
      </c>
      <c r="D15" s="11" t="n">
        <v>0.1</v>
      </c>
      <c r="E15" s="13" t="s">
        <v>142</v>
      </c>
      <c r="F15" s="13" t="s">
        <v>120</v>
      </c>
    </row>
    <row r="16" customFormat="false" ht="21.75" hidden="false" customHeight="true" outlineLevel="0" collapsed="false">
      <c r="A16" s="12" t="s">
        <v>78</v>
      </c>
      <c r="B16" s="12" t="s">
        <v>115</v>
      </c>
      <c r="C16" s="12" t="s">
        <v>112</v>
      </c>
      <c r="D16" s="11" t="s">
        <v>81</v>
      </c>
      <c r="E16" s="12" t="s">
        <v>143</v>
      </c>
      <c r="F16" s="12" t="s">
        <v>114</v>
      </c>
    </row>
    <row r="17" customFormat="false" ht="21.75" hidden="false" customHeight="true" outlineLevel="0" collapsed="false">
      <c r="A17" s="12" t="s">
        <v>83</v>
      </c>
      <c r="B17" s="12" t="s">
        <v>121</v>
      </c>
      <c r="C17" s="12" t="s">
        <v>128</v>
      </c>
      <c r="D17" s="11" t="n">
        <v>0.2</v>
      </c>
      <c r="E17" s="12" t="s">
        <v>144</v>
      </c>
      <c r="F17" s="12" t="s">
        <v>114</v>
      </c>
    </row>
    <row r="18" customFormat="false" ht="21.75" hidden="false" customHeight="true" outlineLevel="0" collapsed="false">
      <c r="A18" s="12" t="s">
        <v>83</v>
      </c>
      <c r="B18" s="12" t="s">
        <v>121</v>
      </c>
      <c r="C18" s="12" t="s">
        <v>145</v>
      </c>
      <c r="D18" s="11" t="n">
        <v>0.15</v>
      </c>
      <c r="E18" s="12" t="s">
        <v>146</v>
      </c>
      <c r="F18" s="12" t="s">
        <v>114</v>
      </c>
    </row>
    <row r="19" customFormat="false" ht="21.75" hidden="false" customHeight="true" outlineLevel="0" collapsed="false">
      <c r="A19" s="12" t="s">
        <v>83</v>
      </c>
      <c r="B19" s="12" t="s">
        <v>115</v>
      </c>
      <c r="C19" s="12" t="s">
        <v>112</v>
      </c>
      <c r="D19" s="11" t="s">
        <v>147</v>
      </c>
      <c r="E19" s="12" t="s">
        <v>148</v>
      </c>
      <c r="F19" s="12" t="s">
        <v>114</v>
      </c>
    </row>
    <row r="20" customFormat="false" ht="21.75" hidden="false" customHeight="true" outlineLevel="0" collapsed="false">
      <c r="A20" s="12" t="s">
        <v>88</v>
      </c>
      <c r="B20" s="12" t="s">
        <v>111</v>
      </c>
      <c r="C20" s="12" t="s">
        <v>112</v>
      </c>
      <c r="D20" s="11" t="n">
        <v>0.2</v>
      </c>
      <c r="E20" s="12" t="s">
        <v>149</v>
      </c>
      <c r="F20" s="12" t="s">
        <v>114</v>
      </c>
    </row>
    <row r="21" customFormat="false" ht="21.75" hidden="false" customHeight="true" outlineLevel="0" collapsed="false">
      <c r="A21" s="12" t="s">
        <v>88</v>
      </c>
      <c r="B21" s="12" t="s">
        <v>121</v>
      </c>
      <c r="C21" s="12" t="s">
        <v>145</v>
      </c>
      <c r="D21" s="11" t="n">
        <v>0.15</v>
      </c>
      <c r="E21" s="12" t="s">
        <v>150</v>
      </c>
      <c r="F21" s="12" t="s">
        <v>114</v>
      </c>
    </row>
    <row r="22" customFormat="false" ht="21.75" hidden="false" customHeight="true" outlineLevel="0" collapsed="false">
      <c r="A22" s="12" t="s">
        <v>88</v>
      </c>
      <c r="B22" s="12" t="s">
        <v>115</v>
      </c>
      <c r="C22" s="12" t="s">
        <v>112</v>
      </c>
      <c r="D22" s="11" t="s">
        <v>151</v>
      </c>
      <c r="E22" s="12" t="s">
        <v>152</v>
      </c>
      <c r="F22" s="12" t="s">
        <v>114</v>
      </c>
    </row>
    <row r="23" customFormat="false" ht="21.75" hidden="false" customHeight="true" outlineLevel="0" collapsed="false">
      <c r="A23" s="12" t="s">
        <v>95</v>
      </c>
      <c r="B23" s="12" t="s">
        <v>121</v>
      </c>
      <c r="C23" s="12" t="s">
        <v>112</v>
      </c>
      <c r="D23" s="11" t="n">
        <v>0.25</v>
      </c>
      <c r="E23" s="12" t="s">
        <v>153</v>
      </c>
      <c r="F23" s="12" t="s">
        <v>114</v>
      </c>
    </row>
    <row r="24" customFormat="false" ht="21.75" hidden="false" customHeight="true" outlineLevel="0" collapsed="false">
      <c r="A24" s="12" t="s">
        <v>95</v>
      </c>
      <c r="B24" s="12" t="s">
        <v>121</v>
      </c>
      <c r="C24" s="12" t="s">
        <v>112</v>
      </c>
      <c r="D24" s="11" t="n">
        <v>0.15</v>
      </c>
      <c r="E24" s="12" t="s">
        <v>154</v>
      </c>
      <c r="F24" s="12" t="s">
        <v>114</v>
      </c>
    </row>
    <row r="25" customFormat="false" ht="21.75" hidden="false" customHeight="true" outlineLevel="0" collapsed="false">
      <c r="A25" s="12" t="s">
        <v>95</v>
      </c>
      <c r="B25" s="12" t="s">
        <v>115</v>
      </c>
      <c r="C25" s="12" t="s">
        <v>112</v>
      </c>
      <c r="D25" s="11" t="s">
        <v>98</v>
      </c>
      <c r="E25" s="12" t="s">
        <v>155</v>
      </c>
      <c r="F25" s="12" t="s">
        <v>114</v>
      </c>
    </row>
    <row r="26" customFormat="false" ht="21.75" hidden="false" customHeight="true" outlineLevel="0" collapsed="false">
      <c r="A26" s="12" t="s">
        <v>100</v>
      </c>
      <c r="B26" s="12" t="s">
        <v>121</v>
      </c>
      <c r="C26" s="12" t="s">
        <v>112</v>
      </c>
      <c r="D26" s="11" t="n">
        <v>0.25</v>
      </c>
      <c r="E26" s="12" t="s">
        <v>156</v>
      </c>
      <c r="F26" s="12" t="s">
        <v>114</v>
      </c>
    </row>
    <row r="27" customFormat="false" ht="21.75" hidden="false" customHeight="true" outlineLevel="0" collapsed="false">
      <c r="A27" s="12" t="s">
        <v>100</v>
      </c>
      <c r="B27" s="12" t="s">
        <v>121</v>
      </c>
      <c r="C27" s="12" t="s">
        <v>112</v>
      </c>
      <c r="D27" s="11" t="n">
        <v>0.15</v>
      </c>
      <c r="E27" s="12" t="s">
        <v>157</v>
      </c>
      <c r="F27" s="12" t="s">
        <v>114</v>
      </c>
    </row>
    <row r="28" customFormat="false" ht="21.75" hidden="false" customHeight="true" outlineLevel="0" collapsed="false">
      <c r="A28" s="12" t="s">
        <v>100</v>
      </c>
      <c r="B28" s="12" t="s">
        <v>115</v>
      </c>
      <c r="C28" s="12" t="s">
        <v>112</v>
      </c>
      <c r="D28" s="11" t="s">
        <v>158</v>
      </c>
      <c r="E28" s="12" t="s">
        <v>159</v>
      </c>
      <c r="F28" s="12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11" min="2" style="0" width="18"/>
  </cols>
  <sheetData>
    <row r="1" customFormat="false" ht="15" hidden="false" customHeight="false" outlineLevel="0" collapsed="false">
      <c r="A1" s="15" t="s">
        <v>105</v>
      </c>
      <c r="B1" s="16" t="s">
        <v>160</v>
      </c>
      <c r="C1" s="15" t="s">
        <v>161</v>
      </c>
      <c r="D1" s="15" t="s">
        <v>162</v>
      </c>
      <c r="E1" s="15" t="s">
        <v>163</v>
      </c>
      <c r="F1" s="15" t="s">
        <v>164</v>
      </c>
      <c r="G1" s="15" t="s">
        <v>165</v>
      </c>
      <c r="H1" s="15" t="s">
        <v>166</v>
      </c>
      <c r="I1" s="15" t="s">
        <v>167</v>
      </c>
      <c r="J1" s="15" t="s">
        <v>168</v>
      </c>
      <c r="K1" s="15" t="s">
        <v>169</v>
      </c>
    </row>
    <row r="2" customFormat="false" ht="19.5" hidden="false" customHeight="true" outlineLevel="0" collapsed="false">
      <c r="A2" s="17" t="s">
        <v>56</v>
      </c>
      <c r="B2" s="18" t="s">
        <v>170</v>
      </c>
      <c r="C2" s="19" t="s">
        <v>171</v>
      </c>
      <c r="D2" s="19" t="s">
        <v>172</v>
      </c>
      <c r="E2" s="19" t="s">
        <v>173</v>
      </c>
      <c r="F2" s="19" t="s">
        <v>174</v>
      </c>
      <c r="G2" s="19" t="s">
        <v>175</v>
      </c>
      <c r="H2" s="19" t="s">
        <v>176</v>
      </c>
      <c r="I2" s="19" t="s">
        <v>177</v>
      </c>
      <c r="J2" s="19" t="s">
        <v>178</v>
      </c>
      <c r="K2" s="19" t="s">
        <v>179</v>
      </c>
    </row>
    <row r="3" customFormat="false" ht="19.5" hidden="false" customHeight="true" outlineLevel="0" collapsed="false">
      <c r="A3" s="17" t="s">
        <v>61</v>
      </c>
      <c r="B3" s="18" t="s">
        <v>180</v>
      </c>
      <c r="C3" s="19" t="s">
        <v>181</v>
      </c>
      <c r="D3" s="19" t="s">
        <v>182</v>
      </c>
      <c r="E3" s="19" t="s">
        <v>183</v>
      </c>
      <c r="F3" s="19" t="s">
        <v>184</v>
      </c>
      <c r="G3" s="19" t="s">
        <v>185</v>
      </c>
      <c r="H3" s="19" t="s">
        <v>186</v>
      </c>
      <c r="I3" s="19" t="s">
        <v>187</v>
      </c>
      <c r="J3" s="19" t="s">
        <v>188</v>
      </c>
      <c r="K3" s="19" t="s">
        <v>189</v>
      </c>
    </row>
    <row r="4" customFormat="false" ht="19.5" hidden="false" customHeight="true" outlineLevel="0" collapsed="false">
      <c r="A4" s="17" t="s">
        <v>67</v>
      </c>
      <c r="B4" s="18" t="s">
        <v>190</v>
      </c>
      <c r="C4" s="19" t="s">
        <v>191</v>
      </c>
      <c r="D4" s="19" t="s">
        <v>192</v>
      </c>
      <c r="E4" s="19" t="s">
        <v>193</v>
      </c>
      <c r="F4" s="19" t="s">
        <v>194</v>
      </c>
      <c r="G4" s="19" t="s">
        <v>195</v>
      </c>
      <c r="H4" s="19" t="s">
        <v>196</v>
      </c>
      <c r="I4" s="19" t="s">
        <v>197</v>
      </c>
      <c r="J4" s="19" t="s">
        <v>198</v>
      </c>
      <c r="K4" s="19" t="s">
        <v>199</v>
      </c>
    </row>
    <row r="5" customFormat="false" ht="19.5" hidden="false" customHeight="true" outlineLevel="0" collapsed="false">
      <c r="A5" s="17" t="s">
        <v>73</v>
      </c>
      <c r="B5" s="18" t="s">
        <v>200</v>
      </c>
      <c r="C5" s="19" t="s">
        <v>201</v>
      </c>
      <c r="D5" s="19" t="s">
        <v>202</v>
      </c>
      <c r="E5" s="19" t="s">
        <v>203</v>
      </c>
      <c r="F5" s="19" t="s">
        <v>204</v>
      </c>
      <c r="G5" s="19" t="s">
        <v>205</v>
      </c>
      <c r="H5" s="19" t="s">
        <v>206</v>
      </c>
      <c r="I5" s="19" t="s">
        <v>207</v>
      </c>
      <c r="J5" s="19" t="s">
        <v>208</v>
      </c>
      <c r="K5" s="19" t="s">
        <v>209</v>
      </c>
    </row>
    <row r="6" customFormat="false" ht="19.5" hidden="false" customHeight="true" outlineLevel="0" collapsed="false">
      <c r="A6" s="17" t="s">
        <v>78</v>
      </c>
      <c r="B6" s="18" t="s">
        <v>210</v>
      </c>
      <c r="C6" s="19" t="s">
        <v>211</v>
      </c>
      <c r="D6" s="19" t="s">
        <v>212</v>
      </c>
      <c r="E6" s="19" t="s">
        <v>213</v>
      </c>
      <c r="F6" s="19" t="s">
        <v>214</v>
      </c>
      <c r="G6" s="19" t="s">
        <v>215</v>
      </c>
      <c r="H6" s="19" t="s">
        <v>216</v>
      </c>
      <c r="I6" s="19" t="s">
        <v>217</v>
      </c>
      <c r="J6" s="19" t="s">
        <v>218</v>
      </c>
      <c r="K6" s="19" t="s">
        <v>219</v>
      </c>
    </row>
    <row r="7" customFormat="false" ht="19.5" hidden="false" customHeight="true" outlineLevel="0" collapsed="false">
      <c r="A7" s="17" t="s">
        <v>83</v>
      </c>
      <c r="B7" s="18" t="s">
        <v>220</v>
      </c>
      <c r="C7" s="19" t="s">
        <v>173</v>
      </c>
      <c r="D7" s="19" t="s">
        <v>221</v>
      </c>
      <c r="E7" s="19" t="s">
        <v>222</v>
      </c>
      <c r="F7" s="19" t="s">
        <v>223</v>
      </c>
      <c r="G7" s="19" t="s">
        <v>224</v>
      </c>
      <c r="H7" s="19" t="s">
        <v>225</v>
      </c>
      <c r="I7" s="19" t="s">
        <v>226</v>
      </c>
      <c r="J7" s="19" t="s">
        <v>227</v>
      </c>
      <c r="K7" s="19" t="s">
        <v>228</v>
      </c>
    </row>
    <row r="8" customFormat="false" ht="19.5" hidden="false" customHeight="true" outlineLevel="0" collapsed="false">
      <c r="A8" s="17" t="s">
        <v>88</v>
      </c>
      <c r="B8" s="18" t="s">
        <v>229</v>
      </c>
      <c r="C8" s="19" t="s">
        <v>230</v>
      </c>
      <c r="D8" s="19" t="s">
        <v>231</v>
      </c>
      <c r="E8" s="19" t="s">
        <v>232</v>
      </c>
      <c r="F8" s="19" t="s">
        <v>233</v>
      </c>
      <c r="G8" s="19" t="s">
        <v>234</v>
      </c>
      <c r="H8" s="19" t="s">
        <v>235</v>
      </c>
      <c r="I8" s="19" t="s">
        <v>236</v>
      </c>
      <c r="J8" s="19" t="s">
        <v>237</v>
      </c>
      <c r="K8" s="19" t="s">
        <v>238</v>
      </c>
    </row>
    <row r="9" customFormat="false" ht="19.5" hidden="false" customHeight="true" outlineLevel="0" collapsed="false">
      <c r="A9" s="17" t="s">
        <v>95</v>
      </c>
      <c r="B9" s="18" t="s">
        <v>239</v>
      </c>
      <c r="C9" s="19" t="s">
        <v>240</v>
      </c>
      <c r="D9" s="19" t="s">
        <v>241</v>
      </c>
      <c r="E9" s="19" t="s">
        <v>242</v>
      </c>
      <c r="F9" s="19" t="s">
        <v>243</v>
      </c>
      <c r="G9" s="19" t="s">
        <v>244</v>
      </c>
      <c r="H9" s="19" t="s">
        <v>245</v>
      </c>
      <c r="I9" s="19" t="s">
        <v>246</v>
      </c>
      <c r="J9" s="19" t="s">
        <v>247</v>
      </c>
      <c r="K9" s="19" t="s">
        <v>248</v>
      </c>
    </row>
    <row r="10" customFormat="false" ht="19.5" hidden="false" customHeight="true" outlineLevel="0" collapsed="false">
      <c r="A10" s="17" t="s">
        <v>100</v>
      </c>
      <c r="B10" s="18" t="s">
        <v>249</v>
      </c>
      <c r="C10" s="19" t="s">
        <v>250</v>
      </c>
      <c r="D10" s="19" t="s">
        <v>251</v>
      </c>
      <c r="E10" s="19" t="s">
        <v>252</v>
      </c>
      <c r="F10" s="19" t="s">
        <v>253</v>
      </c>
      <c r="G10" s="19" t="s">
        <v>254</v>
      </c>
      <c r="H10" s="19" t="s">
        <v>255</v>
      </c>
      <c r="I10" s="19" t="s">
        <v>256</v>
      </c>
      <c r="J10" s="19" t="s">
        <v>257</v>
      </c>
      <c r="K10" s="19" t="s">
        <v>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50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3" t="s">
        <v>259</v>
      </c>
      <c r="B1" s="3" t="s">
        <v>260</v>
      </c>
      <c r="C1" s="3" t="s">
        <v>109</v>
      </c>
      <c r="D1" s="3" t="s">
        <v>261</v>
      </c>
    </row>
    <row r="2" customFormat="false" ht="21.75" hidden="false" customHeight="true" outlineLevel="0" collapsed="false">
      <c r="A2" s="20" t="s">
        <v>262</v>
      </c>
      <c r="B2" s="21" t="n">
        <v>28</v>
      </c>
      <c r="C2" s="20" t="s">
        <v>263</v>
      </c>
      <c r="D2" s="22" t="s">
        <v>264</v>
      </c>
    </row>
    <row r="3" customFormat="false" ht="21.75" hidden="false" customHeight="true" outlineLevel="0" collapsed="false">
      <c r="A3" s="20" t="s">
        <v>265</v>
      </c>
      <c r="B3" s="21" t="n">
        <v>20</v>
      </c>
      <c r="C3" s="20" t="s">
        <v>266</v>
      </c>
      <c r="D3" s="22" t="s">
        <v>267</v>
      </c>
    </row>
    <row r="4" customFormat="false" ht="21.75" hidden="false" customHeight="true" outlineLevel="0" collapsed="false">
      <c r="A4" s="20" t="s">
        <v>268</v>
      </c>
      <c r="B4" s="21" t="n">
        <v>18</v>
      </c>
      <c r="C4" s="20" t="s">
        <v>269</v>
      </c>
      <c r="D4" s="22" t="s">
        <v>270</v>
      </c>
    </row>
    <row r="5" customFormat="false" ht="21.75" hidden="false" customHeight="true" outlineLevel="0" collapsed="false">
      <c r="A5" s="20" t="s">
        <v>271</v>
      </c>
      <c r="B5" s="21" t="n">
        <v>14</v>
      </c>
      <c r="C5" s="20" t="s">
        <v>272</v>
      </c>
      <c r="D5" s="22" t="s">
        <v>273</v>
      </c>
    </row>
    <row r="6" customFormat="false" ht="21.75" hidden="false" customHeight="true" outlineLevel="0" collapsed="false">
      <c r="A6" s="20" t="s">
        <v>274</v>
      </c>
      <c r="B6" s="21" t="n">
        <v>12</v>
      </c>
      <c r="C6" s="20" t="s">
        <v>275</v>
      </c>
      <c r="D6" s="22" t="s">
        <v>276</v>
      </c>
    </row>
    <row r="7" customFormat="false" ht="21.75" hidden="false" customHeight="true" outlineLevel="0" collapsed="false">
      <c r="A7" s="20" t="s">
        <v>277</v>
      </c>
      <c r="B7" s="21" t="n">
        <v>8</v>
      </c>
      <c r="C7" s="20" t="s">
        <v>278</v>
      </c>
      <c r="D7" s="22" t="s">
        <v>279</v>
      </c>
    </row>
    <row r="8" customFormat="false" ht="30" hidden="false" customHeight="true" outlineLevel="0" collapsed="false">
      <c r="A8" s="23" t="s">
        <v>280</v>
      </c>
      <c r="B8" s="24" t="n">
        <f aca="false">SUM(B2:B7)</f>
        <v>100</v>
      </c>
      <c r="C8" s="14" t="s">
        <v>281</v>
      </c>
      <c r="D8" s="25" t="s">
        <v>8</v>
      </c>
    </row>
    <row r="10" customFormat="false" ht="15" hidden="false" customHeight="false" outlineLevel="0" collapsed="false">
      <c r="A10" s="26" t="s">
        <v>282</v>
      </c>
      <c r="B10" s="26"/>
      <c r="C10" s="26"/>
      <c r="D10" s="26"/>
    </row>
    <row r="11" customFormat="false" ht="15" hidden="false" customHeight="false" outlineLevel="0" collapsed="false">
      <c r="A11" s="27" t="s">
        <v>283</v>
      </c>
      <c r="B11" s="27"/>
      <c r="C11" s="27"/>
      <c r="D11" s="27"/>
    </row>
    <row r="12" customFormat="false" ht="15" hidden="false" customHeight="false" outlineLevel="0" collapsed="false">
      <c r="A12" s="28" t="s">
        <v>284</v>
      </c>
      <c r="B12" s="28"/>
      <c r="C12" s="28"/>
      <c r="D12" s="28"/>
    </row>
  </sheetData>
  <mergeCells count="3">
    <mergeCell ref="A10:D10"/>
    <mergeCell ref="A11:D11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55"/>
  </cols>
  <sheetData>
    <row r="1" customFormat="false" ht="15" hidden="false" customHeight="false" outlineLevel="0" collapsed="false">
      <c r="A1" s="3" t="s">
        <v>285</v>
      </c>
      <c r="B1" s="3" t="s">
        <v>108</v>
      </c>
      <c r="C1" s="3" t="s">
        <v>109</v>
      </c>
    </row>
    <row r="2" customFormat="false" ht="18" hidden="false" customHeight="true" outlineLevel="0" collapsed="false">
      <c r="A2" s="29" t="s">
        <v>286</v>
      </c>
      <c r="B2" s="29"/>
      <c r="C2" s="29"/>
    </row>
    <row r="3" customFormat="false" ht="19.5" hidden="false" customHeight="true" outlineLevel="0" collapsed="false">
      <c r="A3" s="30" t="s">
        <v>287</v>
      </c>
      <c r="B3" s="21" t="n">
        <v>20</v>
      </c>
      <c r="C3" s="4" t="s">
        <v>288</v>
      </c>
    </row>
    <row r="4" customFormat="false" ht="19.5" hidden="false" customHeight="true" outlineLevel="0" collapsed="false">
      <c r="A4" s="30" t="s">
        <v>289</v>
      </c>
      <c r="B4" s="21" t="n">
        <v>30</v>
      </c>
      <c r="C4" s="4" t="s">
        <v>290</v>
      </c>
    </row>
    <row r="5" customFormat="false" ht="18" hidden="false" customHeight="true" outlineLevel="0" collapsed="false">
      <c r="A5" s="29" t="s">
        <v>291</v>
      </c>
      <c r="B5" s="29"/>
      <c r="C5" s="29"/>
    </row>
    <row r="6" customFormat="false" ht="19.5" hidden="false" customHeight="true" outlineLevel="0" collapsed="false">
      <c r="A6" s="30" t="s">
        <v>292</v>
      </c>
      <c r="B6" s="21" t="n">
        <v>60</v>
      </c>
      <c r="C6" s="4" t="s">
        <v>293</v>
      </c>
    </row>
    <row r="7" customFormat="false" ht="19.5" hidden="false" customHeight="true" outlineLevel="0" collapsed="false">
      <c r="A7" s="30" t="s">
        <v>294</v>
      </c>
      <c r="B7" s="21" t="n">
        <v>70</v>
      </c>
      <c r="C7" s="4" t="s">
        <v>295</v>
      </c>
    </row>
    <row r="8" customFormat="false" ht="19.5" hidden="false" customHeight="true" outlineLevel="0" collapsed="false">
      <c r="A8" s="30" t="s">
        <v>296</v>
      </c>
      <c r="B8" s="21" t="n">
        <v>70</v>
      </c>
      <c r="C8" s="4" t="s">
        <v>297</v>
      </c>
    </row>
    <row r="9" customFormat="false" ht="19.5" hidden="false" customHeight="true" outlineLevel="0" collapsed="false">
      <c r="A9" s="30" t="s">
        <v>298</v>
      </c>
      <c r="B9" s="21" t="n">
        <v>90</v>
      </c>
      <c r="C9" s="4" t="s">
        <v>299</v>
      </c>
    </row>
    <row r="10" customFormat="false" ht="19.5" hidden="false" customHeight="true" outlineLevel="0" collapsed="false">
      <c r="A10" s="30" t="s">
        <v>300</v>
      </c>
      <c r="B10" s="21" t="n">
        <v>30</v>
      </c>
      <c r="C10" s="4" t="s">
        <v>301</v>
      </c>
    </row>
    <row r="11" customFormat="false" ht="19.5" hidden="false" customHeight="true" outlineLevel="0" collapsed="false">
      <c r="A11" s="30" t="s">
        <v>302</v>
      </c>
      <c r="B11" s="21" t="n">
        <v>120</v>
      </c>
      <c r="C11" s="4" t="s">
        <v>303</v>
      </c>
    </row>
    <row r="12" customFormat="false" ht="18" hidden="false" customHeight="true" outlineLevel="0" collapsed="false">
      <c r="A12" s="29" t="s">
        <v>304</v>
      </c>
      <c r="B12" s="29"/>
      <c r="C12" s="29"/>
    </row>
    <row r="13" customFormat="false" ht="19.5" hidden="false" customHeight="true" outlineLevel="0" collapsed="false">
      <c r="A13" s="30" t="s">
        <v>305</v>
      </c>
      <c r="B13" s="21" t="n">
        <v>1</v>
      </c>
      <c r="C13" s="4" t="s">
        <v>306</v>
      </c>
    </row>
    <row r="14" customFormat="false" ht="19.5" hidden="false" customHeight="true" outlineLevel="0" collapsed="false">
      <c r="A14" s="30" t="s">
        <v>307</v>
      </c>
      <c r="B14" s="21" t="n">
        <v>1</v>
      </c>
      <c r="C14" s="4" t="s">
        <v>308</v>
      </c>
    </row>
    <row r="15" customFormat="false" ht="19.5" hidden="false" customHeight="true" outlineLevel="0" collapsed="false">
      <c r="A15" s="30" t="s">
        <v>309</v>
      </c>
      <c r="B15" s="21" t="n">
        <v>1</v>
      </c>
      <c r="C15" s="4" t="s">
        <v>310</v>
      </c>
    </row>
    <row r="16" customFormat="false" ht="19.5" hidden="false" customHeight="true" outlineLevel="0" collapsed="false">
      <c r="A16" s="30" t="s">
        <v>311</v>
      </c>
      <c r="B16" s="21" t="n">
        <v>5</v>
      </c>
      <c r="C16" s="4" t="s">
        <v>312</v>
      </c>
    </row>
    <row r="17" customFormat="false" ht="18" hidden="false" customHeight="true" outlineLevel="0" collapsed="false">
      <c r="A17" s="29" t="s">
        <v>313</v>
      </c>
      <c r="B17" s="29"/>
      <c r="C17" s="29"/>
    </row>
    <row r="18" customFormat="false" ht="19.5" hidden="false" customHeight="true" outlineLevel="0" collapsed="false">
      <c r="A18" s="30" t="s">
        <v>314</v>
      </c>
      <c r="B18" s="21" t="n">
        <v>60</v>
      </c>
      <c r="C18" s="4" t="s">
        <v>315</v>
      </c>
    </row>
    <row r="19" customFormat="false" ht="19.5" hidden="false" customHeight="true" outlineLevel="0" collapsed="false">
      <c r="A19" s="30" t="s">
        <v>316</v>
      </c>
      <c r="B19" s="21" t="n">
        <v>30</v>
      </c>
      <c r="C19" s="4" t="s">
        <v>317</v>
      </c>
    </row>
    <row r="20" customFormat="false" ht="19.5" hidden="false" customHeight="true" outlineLevel="0" collapsed="false">
      <c r="A20" s="30" t="s">
        <v>318</v>
      </c>
      <c r="B20" s="21" t="n">
        <v>15</v>
      </c>
      <c r="C20" s="4" t="s">
        <v>319</v>
      </c>
    </row>
    <row r="21" customFormat="false" ht="18" hidden="false" customHeight="true" outlineLevel="0" collapsed="false">
      <c r="A21" s="29" t="s">
        <v>320</v>
      </c>
      <c r="B21" s="29"/>
      <c r="C21" s="29"/>
    </row>
    <row r="22" customFormat="false" ht="19.5" hidden="false" customHeight="true" outlineLevel="0" collapsed="false">
      <c r="A22" s="30" t="s">
        <v>321</v>
      </c>
      <c r="B22" s="21" t="n">
        <v>60</v>
      </c>
      <c r="C22" s="4" t="s">
        <v>322</v>
      </c>
    </row>
    <row r="23" customFormat="false" ht="19.5" hidden="false" customHeight="true" outlineLevel="0" collapsed="false">
      <c r="A23" s="30" t="s">
        <v>323</v>
      </c>
      <c r="B23" s="21" t="n">
        <v>-20</v>
      </c>
      <c r="C23" s="4" t="s">
        <v>324</v>
      </c>
    </row>
    <row r="24" customFormat="false" ht="19.5" hidden="false" customHeight="true" outlineLevel="0" collapsed="false">
      <c r="A24" s="30" t="s">
        <v>325</v>
      </c>
      <c r="B24" s="21" t="n">
        <v>-40</v>
      </c>
      <c r="C24" s="4" t="s">
        <v>326</v>
      </c>
    </row>
    <row r="25" customFormat="false" ht="19.5" hidden="false" customHeight="true" outlineLevel="0" collapsed="false">
      <c r="A25" s="30" t="s">
        <v>327</v>
      </c>
      <c r="B25" s="21" t="n">
        <v>1</v>
      </c>
      <c r="C25" s="4" t="s">
        <v>328</v>
      </c>
    </row>
    <row r="26" customFormat="false" ht="19.5" hidden="false" customHeight="true" outlineLevel="0" collapsed="false">
      <c r="A26" s="30" t="s">
        <v>329</v>
      </c>
      <c r="B26" s="21" t="n">
        <v>0.4</v>
      </c>
      <c r="C26" s="4" t="s">
        <v>330</v>
      </c>
    </row>
    <row r="27" customFormat="false" ht="19.5" hidden="false" customHeight="true" outlineLevel="0" collapsed="false">
      <c r="A27" s="30" t="s">
        <v>331</v>
      </c>
      <c r="B27" s="21" t="n">
        <v>0.3</v>
      </c>
      <c r="C27" s="4" t="s">
        <v>332</v>
      </c>
    </row>
  </sheetData>
  <mergeCells count="5">
    <mergeCell ref="A2:C2"/>
    <mergeCell ref="A5:C5"/>
    <mergeCell ref="A12:C12"/>
    <mergeCell ref="A17:C17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4" min="3" style="0" width="10"/>
    <col collapsed="false" customWidth="true" hidden="false" outlineLevel="0" max="5" min="5" style="0" width="20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3" t="s">
        <v>333</v>
      </c>
      <c r="B1" s="3" t="s">
        <v>285</v>
      </c>
      <c r="C1" s="3" t="s">
        <v>334</v>
      </c>
      <c r="D1" s="3" t="s">
        <v>335</v>
      </c>
      <c r="E1" s="3" t="s">
        <v>336</v>
      </c>
      <c r="F1" s="3" t="s">
        <v>337</v>
      </c>
    </row>
    <row r="2" customFormat="false" ht="19.5" hidden="false" customHeight="true" outlineLevel="0" collapsed="false">
      <c r="A2" s="20" t="s">
        <v>338</v>
      </c>
      <c r="B2" s="20" t="s">
        <v>339</v>
      </c>
      <c r="C2" s="20" t="n">
        <v>2</v>
      </c>
      <c r="D2" s="20" t="s">
        <v>8</v>
      </c>
      <c r="E2" s="20" t="s">
        <v>340</v>
      </c>
      <c r="F2" s="20" t="s">
        <v>341</v>
      </c>
    </row>
    <row r="3" customFormat="false" ht="19.5" hidden="false" customHeight="true" outlineLevel="0" collapsed="false">
      <c r="A3" s="20" t="s">
        <v>342</v>
      </c>
      <c r="B3" s="20" t="s">
        <v>339</v>
      </c>
      <c r="C3" s="20" t="n">
        <v>10</v>
      </c>
      <c r="D3" s="20" t="s">
        <v>8</v>
      </c>
      <c r="E3" s="20" t="s">
        <v>340</v>
      </c>
      <c r="F3" s="20" t="s">
        <v>343</v>
      </c>
    </row>
    <row r="4" customFormat="false" ht="19.5" hidden="false" customHeight="true" outlineLevel="0" collapsed="false">
      <c r="A4" s="20" t="s">
        <v>344</v>
      </c>
      <c r="B4" s="20" t="s">
        <v>339</v>
      </c>
      <c r="C4" s="20" t="n">
        <v>5</v>
      </c>
      <c r="D4" s="20" t="n">
        <v>10</v>
      </c>
      <c r="E4" s="20" t="s">
        <v>340</v>
      </c>
      <c r="F4" s="20" t="s">
        <v>345</v>
      </c>
    </row>
    <row r="5" customFormat="false" ht="19.5" hidden="false" customHeight="true" outlineLevel="0" collapsed="false">
      <c r="A5" s="20" t="s">
        <v>346</v>
      </c>
      <c r="B5" s="20" t="s">
        <v>339</v>
      </c>
      <c r="C5" s="20" t="n">
        <v>6</v>
      </c>
      <c r="D5" s="20" t="s">
        <v>8</v>
      </c>
      <c r="E5" s="20" t="s">
        <v>340</v>
      </c>
      <c r="F5" s="20" t="s">
        <v>347</v>
      </c>
    </row>
    <row r="6" customFormat="false" ht="19.5" hidden="false" customHeight="true" outlineLevel="0" collapsed="false">
      <c r="A6" s="20" t="s">
        <v>348</v>
      </c>
      <c r="B6" s="20" t="s">
        <v>339</v>
      </c>
      <c r="C6" s="20" t="n">
        <v>5</v>
      </c>
      <c r="D6" s="20" t="s">
        <v>8</v>
      </c>
      <c r="E6" s="20" t="s">
        <v>340</v>
      </c>
      <c r="F6" s="20" t="s">
        <v>349</v>
      </c>
    </row>
    <row r="7" customFormat="false" ht="19.5" hidden="false" customHeight="true" outlineLevel="0" collapsed="false">
      <c r="A7" s="20" t="s">
        <v>350</v>
      </c>
      <c r="B7" s="20" t="s">
        <v>339</v>
      </c>
      <c r="C7" s="20" t="n">
        <v>5</v>
      </c>
      <c r="D7" s="20" t="s">
        <v>8</v>
      </c>
      <c r="E7" s="20" t="s">
        <v>340</v>
      </c>
      <c r="F7" s="20" t="s">
        <v>351</v>
      </c>
    </row>
    <row r="8" customFormat="false" ht="19.5" hidden="false" customHeight="true" outlineLevel="0" collapsed="false">
      <c r="A8" s="20" t="s">
        <v>352</v>
      </c>
      <c r="B8" s="20" t="s">
        <v>339</v>
      </c>
      <c r="C8" s="20" t="n">
        <v>5</v>
      </c>
      <c r="D8" s="20" t="s">
        <v>8</v>
      </c>
      <c r="E8" s="20" t="s">
        <v>340</v>
      </c>
      <c r="F8" s="20" t="s">
        <v>353</v>
      </c>
    </row>
    <row r="9" customFormat="false" ht="19.5" hidden="false" customHeight="true" outlineLevel="0" collapsed="false">
      <c r="A9" s="20" t="s">
        <v>354</v>
      </c>
      <c r="B9" s="20" t="s">
        <v>355</v>
      </c>
      <c r="C9" s="20" t="s">
        <v>8</v>
      </c>
      <c r="D9" s="20" t="n">
        <v>5</v>
      </c>
      <c r="E9" s="20" t="s">
        <v>340</v>
      </c>
      <c r="F9" s="20" t="s">
        <v>356</v>
      </c>
    </row>
    <row r="10" customFormat="false" ht="19.5" hidden="false" customHeight="true" outlineLevel="0" collapsed="false">
      <c r="A10" s="20" t="s">
        <v>357</v>
      </c>
      <c r="B10" s="20" t="s">
        <v>355</v>
      </c>
      <c r="C10" s="20" t="s">
        <v>8</v>
      </c>
      <c r="D10" s="20" t="n">
        <v>15</v>
      </c>
      <c r="E10" s="20" t="s">
        <v>340</v>
      </c>
      <c r="F10" s="20" t="s">
        <v>358</v>
      </c>
    </row>
    <row r="11" customFormat="false" ht="19.5" hidden="false" customHeight="true" outlineLevel="0" collapsed="false">
      <c r="A11" s="20" t="s">
        <v>359</v>
      </c>
      <c r="B11" s="20" t="s">
        <v>355</v>
      </c>
      <c r="C11" s="20" t="s">
        <v>8</v>
      </c>
      <c r="D11" s="20" t="n">
        <v>10</v>
      </c>
      <c r="E11" s="20" t="s">
        <v>340</v>
      </c>
      <c r="F11" s="20" t="s">
        <v>360</v>
      </c>
    </row>
    <row r="12" customFormat="false" ht="19.5" hidden="false" customHeight="true" outlineLevel="0" collapsed="false">
      <c r="A12" s="31" t="s">
        <v>361</v>
      </c>
      <c r="B12" s="31" t="s">
        <v>339</v>
      </c>
      <c r="C12" s="31" t="n">
        <v>-40</v>
      </c>
      <c r="D12" s="31" t="s">
        <v>8</v>
      </c>
      <c r="E12" s="31" t="s">
        <v>340</v>
      </c>
      <c r="F12" s="31" t="s">
        <v>362</v>
      </c>
    </row>
    <row r="13" customFormat="false" ht="19.5" hidden="false" customHeight="true" outlineLevel="0" collapsed="false">
      <c r="A13" s="31" t="s">
        <v>363</v>
      </c>
      <c r="B13" s="31" t="s">
        <v>339</v>
      </c>
      <c r="C13" s="31" t="n">
        <v>-20</v>
      </c>
      <c r="D13" s="31" t="s">
        <v>8</v>
      </c>
      <c r="E13" s="31" t="s">
        <v>340</v>
      </c>
      <c r="F13" s="31" t="s">
        <v>364</v>
      </c>
    </row>
    <row r="14" customFormat="false" ht="19.5" hidden="false" customHeight="true" outlineLevel="0" collapsed="false">
      <c r="A14" s="31" t="s">
        <v>365</v>
      </c>
      <c r="B14" s="31" t="s">
        <v>339</v>
      </c>
      <c r="C14" s="31" t="n">
        <v>-50</v>
      </c>
      <c r="D14" s="31" t="s">
        <v>8</v>
      </c>
      <c r="E14" s="31" t="s">
        <v>340</v>
      </c>
      <c r="F14" s="31" t="s">
        <v>366</v>
      </c>
    </row>
    <row r="15" customFormat="false" ht="19.5" hidden="false" customHeight="true" outlineLevel="0" collapsed="false">
      <c r="A15" s="31" t="s">
        <v>367</v>
      </c>
      <c r="B15" s="31" t="s">
        <v>339</v>
      </c>
      <c r="C15" s="31" t="n">
        <v>-15</v>
      </c>
      <c r="D15" s="31" t="s">
        <v>8</v>
      </c>
      <c r="E15" s="31" t="s">
        <v>340</v>
      </c>
      <c r="F15" s="31" t="s">
        <v>368</v>
      </c>
    </row>
    <row r="16" customFormat="false" ht="19.5" hidden="false" customHeight="true" outlineLevel="0" collapsed="false">
      <c r="A16" s="31" t="s">
        <v>369</v>
      </c>
      <c r="B16" s="31" t="s">
        <v>339</v>
      </c>
      <c r="C16" s="31" t="n">
        <v>-20</v>
      </c>
      <c r="D16" s="31" t="s">
        <v>8</v>
      </c>
      <c r="E16" s="31" t="s">
        <v>340</v>
      </c>
      <c r="F16" s="31" t="s">
        <v>370</v>
      </c>
    </row>
    <row r="17" customFormat="false" ht="19.5" hidden="false" customHeight="true" outlineLevel="0" collapsed="false">
      <c r="A17" s="31" t="s">
        <v>371</v>
      </c>
      <c r="B17" s="31" t="s">
        <v>339</v>
      </c>
      <c r="C17" s="31" t="n">
        <v>-5</v>
      </c>
      <c r="D17" s="31" t="s">
        <v>8</v>
      </c>
      <c r="E17" s="31" t="s">
        <v>340</v>
      </c>
      <c r="F17" s="31" t="s">
        <v>372</v>
      </c>
    </row>
    <row r="18" customFormat="false" ht="19.5" hidden="false" customHeight="true" outlineLevel="0" collapsed="false">
      <c r="A18" s="31" t="s">
        <v>373</v>
      </c>
      <c r="B18" s="31" t="s">
        <v>355</v>
      </c>
      <c r="C18" s="31" t="s">
        <v>8</v>
      </c>
      <c r="D18" s="31" t="n">
        <v>-10</v>
      </c>
      <c r="E18" s="31" t="s">
        <v>340</v>
      </c>
      <c r="F18" s="31" t="s">
        <v>374</v>
      </c>
    </row>
    <row r="19" customFormat="false" ht="19.5" hidden="false" customHeight="true" outlineLevel="0" collapsed="false">
      <c r="A19" s="31" t="s">
        <v>375</v>
      </c>
      <c r="B19" s="31" t="s">
        <v>339</v>
      </c>
      <c r="C19" s="31" t="n">
        <v>-20</v>
      </c>
      <c r="D19" s="31" t="s">
        <v>8</v>
      </c>
      <c r="E19" s="31" t="s">
        <v>340</v>
      </c>
      <c r="F19" s="31" t="s">
        <v>376</v>
      </c>
    </row>
    <row r="20" customFormat="false" ht="19.5" hidden="false" customHeight="true" outlineLevel="0" collapsed="false">
      <c r="A20" s="31" t="s">
        <v>377</v>
      </c>
      <c r="B20" s="31" t="s">
        <v>339</v>
      </c>
      <c r="C20" s="31" t="n">
        <v>-10</v>
      </c>
      <c r="D20" s="31" t="s">
        <v>8</v>
      </c>
      <c r="E20" s="31" t="s">
        <v>340</v>
      </c>
      <c r="F20" s="31" t="s">
        <v>378</v>
      </c>
    </row>
    <row r="21" customFormat="false" ht="19.5" hidden="false" customHeight="true" outlineLevel="0" collapsed="false">
      <c r="A21" s="31" t="s">
        <v>379</v>
      </c>
      <c r="B21" s="31" t="s">
        <v>339</v>
      </c>
      <c r="C21" s="31" t="n">
        <v>-5</v>
      </c>
      <c r="D21" s="31" t="s">
        <v>8</v>
      </c>
      <c r="E21" s="31" t="s">
        <v>340</v>
      </c>
      <c r="F21" s="31" t="s">
        <v>380</v>
      </c>
    </row>
    <row r="22" customFormat="false" ht="19.5" hidden="false" customHeight="true" outlineLevel="0" collapsed="false">
      <c r="A22" s="31" t="s">
        <v>381</v>
      </c>
      <c r="B22" s="31" t="s">
        <v>382</v>
      </c>
      <c r="C22" s="31" t="n">
        <v>-10</v>
      </c>
      <c r="D22" s="31" t="n">
        <v>-10</v>
      </c>
      <c r="E22" s="31" t="s">
        <v>340</v>
      </c>
      <c r="F22" s="31" t="s">
        <v>383</v>
      </c>
    </row>
    <row r="23" customFormat="false" ht="19.5" hidden="false" customHeight="true" outlineLevel="0" collapsed="false">
      <c r="A23" s="31" t="s">
        <v>384</v>
      </c>
      <c r="B23" s="31" t="s">
        <v>339</v>
      </c>
      <c r="C23" s="31" t="n">
        <v>-10</v>
      </c>
      <c r="D23" s="31" t="s">
        <v>8</v>
      </c>
      <c r="E23" s="31" t="s">
        <v>340</v>
      </c>
      <c r="F23" s="31" t="s">
        <v>385</v>
      </c>
    </row>
    <row r="24" customFormat="false" ht="19.5" hidden="false" customHeight="true" outlineLevel="0" collapsed="false">
      <c r="A24" s="31" t="s">
        <v>386</v>
      </c>
      <c r="B24" s="31" t="s">
        <v>339</v>
      </c>
      <c r="C24" s="31" t="n">
        <v>-10</v>
      </c>
      <c r="D24" s="31" t="s">
        <v>8</v>
      </c>
      <c r="E24" s="31" t="s">
        <v>340</v>
      </c>
      <c r="F24" s="31" t="s">
        <v>387</v>
      </c>
    </row>
    <row r="25" customFormat="false" ht="19.5" hidden="false" customHeight="true" outlineLevel="0" collapsed="false">
      <c r="A25" s="13" t="s">
        <v>388</v>
      </c>
      <c r="B25" s="13" t="s">
        <v>339</v>
      </c>
      <c r="C25" s="13" t="n">
        <v>1</v>
      </c>
      <c r="D25" s="13" t="s">
        <v>8</v>
      </c>
      <c r="E25" s="13" t="s">
        <v>389</v>
      </c>
      <c r="F25" s="13" t="s">
        <v>390</v>
      </c>
    </row>
    <row r="26" customFormat="false" ht="19.5" hidden="false" customHeight="true" outlineLevel="0" collapsed="false">
      <c r="A26" s="13" t="s">
        <v>391</v>
      </c>
      <c r="B26" s="13" t="s">
        <v>339</v>
      </c>
      <c r="C26" s="13" t="n">
        <v>1</v>
      </c>
      <c r="D26" s="13" t="s">
        <v>8</v>
      </c>
      <c r="E26" s="13" t="s">
        <v>389</v>
      </c>
      <c r="F26" s="13" t="s">
        <v>392</v>
      </c>
    </row>
    <row r="27" customFormat="false" ht="19.5" hidden="false" customHeight="true" outlineLevel="0" collapsed="false">
      <c r="A27" s="13" t="s">
        <v>393</v>
      </c>
      <c r="B27" s="13" t="s">
        <v>339</v>
      </c>
      <c r="C27" s="13" t="n">
        <v>1</v>
      </c>
      <c r="D27" s="13" t="s">
        <v>8</v>
      </c>
      <c r="E27" s="13" t="s">
        <v>389</v>
      </c>
      <c r="F27" s="13" t="s">
        <v>394</v>
      </c>
    </row>
    <row r="28" customFormat="false" ht="19.5" hidden="false" customHeight="true" outlineLevel="0" collapsed="false">
      <c r="A28" s="13" t="s">
        <v>395</v>
      </c>
      <c r="B28" s="13" t="s">
        <v>339</v>
      </c>
      <c r="C28" s="13" t="n">
        <v>1</v>
      </c>
      <c r="D28" s="13" t="s">
        <v>8</v>
      </c>
      <c r="E28" s="13" t="s">
        <v>389</v>
      </c>
      <c r="F28" s="13" t="s">
        <v>396</v>
      </c>
    </row>
    <row r="29" customFormat="false" ht="19.5" hidden="false" customHeight="true" outlineLevel="0" collapsed="false">
      <c r="A29" s="13" t="s">
        <v>397</v>
      </c>
      <c r="B29" s="13" t="s">
        <v>339</v>
      </c>
      <c r="C29" s="13" t="n">
        <v>0.5</v>
      </c>
      <c r="D29" s="13" t="s">
        <v>8</v>
      </c>
      <c r="E29" s="13" t="s">
        <v>389</v>
      </c>
      <c r="F29" s="13" t="s">
        <v>398</v>
      </c>
    </row>
    <row r="30" customFormat="false" ht="19.5" hidden="false" customHeight="true" outlineLevel="0" collapsed="false">
      <c r="A30" s="31" t="s">
        <v>399</v>
      </c>
      <c r="B30" s="31" t="s">
        <v>339</v>
      </c>
      <c r="C30" s="31" t="n">
        <v>-0.5</v>
      </c>
      <c r="D30" s="31" t="s">
        <v>8</v>
      </c>
      <c r="E30" s="31" t="s">
        <v>389</v>
      </c>
      <c r="F30" s="31" t="s">
        <v>400</v>
      </c>
    </row>
    <row r="31" customFormat="false" ht="19.5" hidden="false" customHeight="true" outlineLevel="0" collapsed="false">
      <c r="A31" s="31" t="s">
        <v>401</v>
      </c>
      <c r="B31" s="31" t="s">
        <v>339</v>
      </c>
      <c r="C31" s="31" t="n">
        <v>-2</v>
      </c>
      <c r="D31" s="31" t="s">
        <v>8</v>
      </c>
      <c r="E31" s="31" t="s">
        <v>389</v>
      </c>
      <c r="F31" s="31" t="s">
        <v>402</v>
      </c>
    </row>
    <row r="32" customFormat="false" ht="19.5" hidden="false" customHeight="true" outlineLevel="0" collapsed="false">
      <c r="A32" s="31" t="s">
        <v>403</v>
      </c>
      <c r="B32" s="31" t="s">
        <v>339</v>
      </c>
      <c r="C32" s="31" t="n">
        <v>-2</v>
      </c>
      <c r="D32" s="31" t="s">
        <v>8</v>
      </c>
      <c r="E32" s="31" t="s">
        <v>389</v>
      </c>
      <c r="F32" s="31" t="s">
        <v>404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  <col collapsed="false" customWidth="true" hidden="false" outlineLevel="0" max="7" min="4" style="0" width="14"/>
    <col collapsed="false" customWidth="true" hidden="false" outlineLevel="0" max="8" min="8" style="0" width="45"/>
  </cols>
  <sheetData>
    <row r="1" customFormat="false" ht="23.85" hidden="false" customHeight="false" outlineLevel="0" collapsed="false">
      <c r="A1" s="3" t="s">
        <v>105</v>
      </c>
      <c r="B1" s="3" t="s">
        <v>405</v>
      </c>
      <c r="C1" s="3" t="s">
        <v>406</v>
      </c>
      <c r="D1" s="3" t="s">
        <v>407</v>
      </c>
      <c r="E1" s="3" t="s">
        <v>408</v>
      </c>
      <c r="F1" s="3" t="s">
        <v>409</v>
      </c>
      <c r="G1" s="3" t="s">
        <v>410</v>
      </c>
      <c r="H1" s="3" t="s">
        <v>411</v>
      </c>
    </row>
    <row r="2" customFormat="false" ht="21.75" hidden="false" customHeight="true" outlineLevel="0" collapsed="false">
      <c r="A2" s="20" t="s">
        <v>56</v>
      </c>
      <c r="B2" s="21" t="n">
        <v>0.4</v>
      </c>
      <c r="C2" s="21" t="n">
        <v>0.75</v>
      </c>
      <c r="D2" s="32" t="n">
        <v>0</v>
      </c>
      <c r="E2" s="32" t="n">
        <v>1</v>
      </c>
      <c r="F2" s="32" t="n">
        <v>0</v>
      </c>
      <c r="G2" s="32" t="n">
        <v>0</v>
      </c>
      <c r="H2" s="20" t="s">
        <v>412</v>
      </c>
    </row>
    <row r="3" customFormat="false" ht="21.75" hidden="false" customHeight="true" outlineLevel="0" collapsed="false">
      <c r="A3" s="20" t="s">
        <v>61</v>
      </c>
      <c r="B3" s="21" t="n">
        <v>0.75</v>
      </c>
      <c r="C3" s="21" t="n">
        <v>0.5</v>
      </c>
      <c r="D3" s="32" t="n">
        <v>1</v>
      </c>
      <c r="E3" s="32" t="n">
        <v>0</v>
      </c>
      <c r="F3" s="32" t="n">
        <v>0</v>
      </c>
      <c r="G3" s="32" t="n">
        <v>0</v>
      </c>
      <c r="H3" s="20" t="s">
        <v>413</v>
      </c>
    </row>
    <row r="4" customFormat="false" ht="21.75" hidden="false" customHeight="true" outlineLevel="0" collapsed="false">
      <c r="A4" s="20" t="s">
        <v>67</v>
      </c>
      <c r="B4" s="21" t="n">
        <v>0.2</v>
      </c>
      <c r="C4" s="21" t="n">
        <v>0.85</v>
      </c>
      <c r="D4" s="32" t="n">
        <v>-1</v>
      </c>
      <c r="E4" s="32" t="n">
        <v>1</v>
      </c>
      <c r="F4" s="32" t="n">
        <v>1</v>
      </c>
      <c r="G4" s="32" t="n">
        <v>0</v>
      </c>
      <c r="H4" s="20" t="s">
        <v>414</v>
      </c>
    </row>
    <row r="5" customFormat="false" ht="21.75" hidden="false" customHeight="true" outlineLevel="0" collapsed="false">
      <c r="A5" s="20" t="s">
        <v>73</v>
      </c>
      <c r="B5" s="21" t="n">
        <v>0.45</v>
      </c>
      <c r="C5" s="21" t="n">
        <v>0.25</v>
      </c>
      <c r="D5" s="32" t="n">
        <v>0</v>
      </c>
      <c r="E5" s="32" t="n">
        <v>0</v>
      </c>
      <c r="F5" s="32" t="n">
        <v>0</v>
      </c>
      <c r="G5" s="32" t="n">
        <v>1</v>
      </c>
      <c r="H5" s="20" t="s">
        <v>415</v>
      </c>
    </row>
    <row r="6" customFormat="false" ht="21.75" hidden="false" customHeight="true" outlineLevel="0" collapsed="false">
      <c r="A6" s="20" t="s">
        <v>78</v>
      </c>
      <c r="B6" s="21" t="n">
        <v>0.9</v>
      </c>
      <c r="C6" s="21" t="n">
        <v>0.2</v>
      </c>
      <c r="D6" s="32" t="n">
        <v>2</v>
      </c>
      <c r="E6" s="32" t="n">
        <v>-1</v>
      </c>
      <c r="F6" s="32" t="n">
        <v>-1</v>
      </c>
      <c r="G6" s="32" t="n">
        <v>0</v>
      </c>
      <c r="H6" s="20" t="s">
        <v>416</v>
      </c>
    </row>
    <row r="7" customFormat="false" ht="21.75" hidden="false" customHeight="true" outlineLevel="0" collapsed="false">
      <c r="A7" s="20" t="s">
        <v>83</v>
      </c>
      <c r="B7" s="21" t="n">
        <v>0.35</v>
      </c>
      <c r="C7" s="21" t="n">
        <v>0.6</v>
      </c>
      <c r="D7" s="32" t="n">
        <v>0</v>
      </c>
      <c r="E7" s="32" t="n">
        <v>0</v>
      </c>
      <c r="F7" s="32" t="n">
        <v>1</v>
      </c>
      <c r="G7" s="32" t="n">
        <v>0</v>
      </c>
      <c r="H7" s="20" t="s">
        <v>417</v>
      </c>
    </row>
    <row r="8" customFormat="false" ht="21.75" hidden="false" customHeight="true" outlineLevel="0" collapsed="false">
      <c r="A8" s="20" t="s">
        <v>88</v>
      </c>
      <c r="B8" s="21" t="n">
        <v>0.3</v>
      </c>
      <c r="C8" s="21" t="n">
        <v>0.65</v>
      </c>
      <c r="D8" s="32" t="n">
        <v>-1</v>
      </c>
      <c r="E8" s="32" t="n">
        <v>2</v>
      </c>
      <c r="F8" s="32" t="n">
        <v>0</v>
      </c>
      <c r="G8" s="32" t="n">
        <v>0</v>
      </c>
      <c r="H8" s="20" t="s">
        <v>418</v>
      </c>
    </row>
    <row r="9" customFormat="false" ht="21.75" hidden="false" customHeight="true" outlineLevel="0" collapsed="false">
      <c r="A9" s="20" t="s">
        <v>95</v>
      </c>
      <c r="B9" s="21" t="n">
        <v>0.6</v>
      </c>
      <c r="C9" s="21" t="n">
        <v>0.35</v>
      </c>
      <c r="D9" s="32" t="n">
        <v>2</v>
      </c>
      <c r="E9" s="32" t="n">
        <v>-1</v>
      </c>
      <c r="F9" s="32" t="n">
        <v>0</v>
      </c>
      <c r="G9" s="32" t="n">
        <v>1</v>
      </c>
      <c r="H9" s="20" t="s">
        <v>419</v>
      </c>
    </row>
    <row r="10" customFormat="false" ht="21.75" hidden="false" customHeight="true" outlineLevel="0" collapsed="false">
      <c r="A10" s="20" t="s">
        <v>100</v>
      </c>
      <c r="B10" s="21" t="n">
        <v>0.65</v>
      </c>
      <c r="C10" s="21" t="n">
        <v>0.3</v>
      </c>
      <c r="D10" s="32" t="n">
        <v>2</v>
      </c>
      <c r="E10" s="32" t="n">
        <v>-1</v>
      </c>
      <c r="F10" s="32" t="n">
        <v>-1</v>
      </c>
      <c r="G10" s="32" t="n">
        <v>0</v>
      </c>
      <c r="H10" s="20" t="s">
        <v>420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8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3" t="s">
        <v>421</v>
      </c>
      <c r="B1" s="3" t="s">
        <v>108</v>
      </c>
      <c r="C1" s="3" t="s">
        <v>422</v>
      </c>
      <c r="D1" s="3" t="s">
        <v>423</v>
      </c>
    </row>
    <row r="2" customFormat="false" ht="18" hidden="false" customHeight="true" outlineLevel="0" collapsed="false">
      <c r="A2" s="33" t="s">
        <v>424</v>
      </c>
      <c r="B2" s="33"/>
      <c r="C2" s="33"/>
      <c r="D2" s="33"/>
    </row>
    <row r="3" customFormat="false" ht="21.75" hidden="false" customHeight="true" outlineLevel="0" collapsed="false">
      <c r="A3" s="34" t="s">
        <v>425</v>
      </c>
      <c r="B3" s="21" t="n">
        <v>0.9</v>
      </c>
      <c r="C3" s="35" t="s">
        <v>426</v>
      </c>
      <c r="D3" s="4" t="s">
        <v>427</v>
      </c>
    </row>
    <row r="4" customFormat="false" ht="21.75" hidden="false" customHeight="true" outlineLevel="0" collapsed="false">
      <c r="A4" s="34" t="s">
        <v>428</v>
      </c>
      <c r="B4" s="21" t="n">
        <v>0.5</v>
      </c>
      <c r="C4" s="35" t="s">
        <v>426</v>
      </c>
      <c r="D4" s="4" t="s">
        <v>429</v>
      </c>
    </row>
    <row r="5" customFormat="false" ht="21.75" hidden="false" customHeight="true" outlineLevel="0" collapsed="false">
      <c r="A5" s="34" t="s">
        <v>430</v>
      </c>
      <c r="B5" s="21" t="n">
        <v>0.5</v>
      </c>
      <c r="C5" s="35" t="s">
        <v>426</v>
      </c>
      <c r="D5" s="4" t="s">
        <v>431</v>
      </c>
    </row>
    <row r="6" customFormat="false" ht="21.75" hidden="false" customHeight="true" outlineLevel="0" collapsed="false">
      <c r="A6" s="34" t="s">
        <v>432</v>
      </c>
      <c r="B6" s="21" t="n">
        <v>0.7</v>
      </c>
      <c r="C6" s="35" t="s">
        <v>426</v>
      </c>
      <c r="D6" s="4" t="s">
        <v>433</v>
      </c>
    </row>
    <row r="7" customFormat="false" ht="21.75" hidden="false" customHeight="true" outlineLevel="0" collapsed="false">
      <c r="A7" s="34" t="s">
        <v>434</v>
      </c>
      <c r="B7" s="21" t="n">
        <v>0.3</v>
      </c>
      <c r="C7" s="35" t="s">
        <v>426</v>
      </c>
      <c r="D7" s="4" t="s">
        <v>435</v>
      </c>
    </row>
    <row r="8" customFormat="false" ht="18" hidden="false" customHeight="true" outlineLevel="0" collapsed="false">
      <c r="A8" s="33" t="s">
        <v>436</v>
      </c>
      <c r="B8" s="33"/>
      <c r="C8" s="33"/>
      <c r="D8" s="33"/>
    </row>
    <row r="9" customFormat="false" ht="21.75" hidden="false" customHeight="true" outlineLevel="0" collapsed="false">
      <c r="A9" s="34" t="s">
        <v>437</v>
      </c>
      <c r="B9" s="21" t="n">
        <v>0.6</v>
      </c>
      <c r="C9" s="35" t="s">
        <v>426</v>
      </c>
      <c r="D9" s="4" t="s">
        <v>438</v>
      </c>
    </row>
    <row r="10" customFormat="false" ht="21.75" hidden="false" customHeight="true" outlineLevel="0" collapsed="false">
      <c r="A10" s="34" t="s">
        <v>439</v>
      </c>
      <c r="B10" s="21" t="n">
        <v>0.5</v>
      </c>
      <c r="C10" s="35" t="s">
        <v>426</v>
      </c>
      <c r="D10" s="4" t="s">
        <v>440</v>
      </c>
    </row>
    <row r="11" customFormat="false" ht="21.75" hidden="false" customHeight="true" outlineLevel="0" collapsed="false">
      <c r="A11" s="34" t="s">
        <v>441</v>
      </c>
      <c r="B11" s="21" t="n">
        <v>0.7</v>
      </c>
      <c r="C11" s="35" t="s">
        <v>426</v>
      </c>
      <c r="D11" s="4" t="s">
        <v>442</v>
      </c>
    </row>
    <row r="12" customFormat="false" ht="21.75" hidden="false" customHeight="true" outlineLevel="0" collapsed="false">
      <c r="A12" s="34" t="s">
        <v>443</v>
      </c>
      <c r="B12" s="21" t="n">
        <v>0.4</v>
      </c>
      <c r="C12" s="35" t="s">
        <v>426</v>
      </c>
      <c r="D12" s="4" t="s">
        <v>444</v>
      </c>
    </row>
    <row r="13" customFormat="false" ht="21.75" hidden="false" customHeight="true" outlineLevel="0" collapsed="false">
      <c r="A13" s="34" t="s">
        <v>445</v>
      </c>
      <c r="B13" s="21" t="n">
        <v>0.6</v>
      </c>
      <c r="C13" s="35" t="s">
        <v>426</v>
      </c>
      <c r="D13" s="4" t="s">
        <v>446</v>
      </c>
    </row>
    <row r="14" customFormat="false" ht="21.75" hidden="false" customHeight="true" outlineLevel="0" collapsed="false">
      <c r="A14" s="34" t="s">
        <v>447</v>
      </c>
      <c r="B14" s="21" t="n">
        <v>0.5</v>
      </c>
      <c r="C14" s="35" t="s">
        <v>426</v>
      </c>
      <c r="D14" s="4" t="s">
        <v>448</v>
      </c>
    </row>
  </sheetData>
  <mergeCells count="2">
    <mergeCell ref="A2:D2"/>
    <mergeCell ref="A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45"/>
  </cols>
  <sheetData>
    <row r="1" customFormat="false" ht="23.85" hidden="false" customHeight="false" outlineLevel="0" collapsed="false">
      <c r="A1" s="3" t="s">
        <v>285</v>
      </c>
      <c r="B1" s="3" t="s">
        <v>449</v>
      </c>
      <c r="C1" s="3" t="s">
        <v>450</v>
      </c>
      <c r="D1" s="3" t="s">
        <v>451</v>
      </c>
      <c r="E1" s="3" t="s">
        <v>109</v>
      </c>
    </row>
    <row r="2" customFormat="false" ht="21.75" hidden="false" customHeight="true" outlineLevel="0" collapsed="false">
      <c r="A2" s="17" t="s">
        <v>452</v>
      </c>
      <c r="B2" s="21" t="n">
        <v>0</v>
      </c>
      <c r="C2" s="21" t="n">
        <v>0.1</v>
      </c>
      <c r="D2" s="21" t="n">
        <v>0.25</v>
      </c>
      <c r="E2" s="4" t="s">
        <v>453</v>
      </c>
    </row>
    <row r="3" customFormat="false" ht="21.75" hidden="false" customHeight="true" outlineLevel="0" collapsed="false">
      <c r="A3" s="17" t="s">
        <v>454</v>
      </c>
      <c r="B3" s="21" t="n">
        <v>0</v>
      </c>
      <c r="C3" s="21" t="n">
        <v>1</v>
      </c>
      <c r="D3" s="21" t="n">
        <v>0</v>
      </c>
      <c r="E3" s="4" t="s">
        <v>455</v>
      </c>
    </row>
    <row r="4" customFormat="false" ht="21.75" hidden="false" customHeight="true" outlineLevel="0" collapsed="false">
      <c r="A4" s="17" t="s">
        <v>456</v>
      </c>
      <c r="B4" s="21" t="n">
        <v>0</v>
      </c>
      <c r="C4" s="21" t="n">
        <v>1</v>
      </c>
      <c r="D4" s="21" t="n">
        <v>0</v>
      </c>
      <c r="E4" s="4" t="s">
        <v>457</v>
      </c>
    </row>
    <row r="5" customFormat="false" ht="21.75" hidden="false" customHeight="true" outlineLevel="0" collapsed="false">
      <c r="A5" s="17" t="s">
        <v>458</v>
      </c>
      <c r="B5" s="21" t="n">
        <v>0</v>
      </c>
      <c r="C5" s="21" t="n">
        <v>0</v>
      </c>
      <c r="D5" s="21" t="n">
        <v>1</v>
      </c>
      <c r="E5" s="4" t="s">
        <v>459</v>
      </c>
    </row>
    <row r="6" customFormat="false" ht="21.75" hidden="false" customHeight="true" outlineLevel="0" collapsed="false">
      <c r="A6" s="17" t="s">
        <v>460</v>
      </c>
      <c r="B6" s="21" t="n">
        <v>0</v>
      </c>
      <c r="C6" s="21" t="n">
        <v>0</v>
      </c>
      <c r="D6" s="21" t="n">
        <v>0.05</v>
      </c>
      <c r="E6" s="4" t="s">
        <v>461</v>
      </c>
    </row>
    <row r="7" customFormat="false" ht="21.75" hidden="false" customHeight="true" outlineLevel="0" collapsed="false">
      <c r="A7" s="17" t="s">
        <v>462</v>
      </c>
      <c r="B7" s="21" t="n">
        <v>0.85</v>
      </c>
      <c r="C7" s="21" t="n">
        <v>1</v>
      </c>
      <c r="D7" s="21" t="n">
        <v>1.2</v>
      </c>
      <c r="E7" s="4" t="s">
        <v>463</v>
      </c>
    </row>
    <row r="8" customFormat="false" ht="21.75" hidden="false" customHeight="true" outlineLevel="0" collapsed="false">
      <c r="A8" s="17" t="s">
        <v>464</v>
      </c>
      <c r="B8" s="21" t="n">
        <v>0.8</v>
      </c>
      <c r="C8" s="21" t="n">
        <v>1</v>
      </c>
      <c r="D8" s="21" t="n">
        <v>1.25</v>
      </c>
      <c r="E8" s="4" t="s">
        <v>465</v>
      </c>
    </row>
    <row r="9" customFormat="false" ht="21.75" hidden="false" customHeight="true" outlineLevel="0" collapsed="false">
      <c r="A9" s="17" t="s">
        <v>466</v>
      </c>
      <c r="B9" s="21" t="n">
        <v>0</v>
      </c>
      <c r="C9" s="21" t="n">
        <v>0.5</v>
      </c>
      <c r="D9" s="21" t="n">
        <v>1</v>
      </c>
      <c r="E9" s="4" t="s">
        <v>467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4"/>
    <col collapsed="false" customWidth="true" hidden="false" outlineLevel="0" max="3" min="3" style="0" width="45"/>
  </cols>
  <sheetData>
    <row r="1" customFormat="false" ht="15" hidden="false" customHeight="false" outlineLevel="0" collapsed="false">
      <c r="A1" s="3" t="s">
        <v>468</v>
      </c>
      <c r="B1" s="3" t="s">
        <v>108</v>
      </c>
      <c r="C1" s="3" t="s">
        <v>109</v>
      </c>
    </row>
    <row r="2" customFormat="false" ht="19.5" hidden="false" customHeight="true" outlineLevel="0" collapsed="false">
      <c r="A2" s="17" t="s">
        <v>469</v>
      </c>
      <c r="B2" s="21" t="n">
        <v>5</v>
      </c>
      <c r="C2" s="4" t="s">
        <v>470</v>
      </c>
    </row>
    <row r="3" customFormat="false" ht="19.5" hidden="false" customHeight="true" outlineLevel="0" collapsed="false">
      <c r="A3" s="17" t="s">
        <v>471</v>
      </c>
      <c r="B3" s="21" t="n">
        <v>6</v>
      </c>
      <c r="C3" s="4" t="s">
        <v>472</v>
      </c>
    </row>
    <row r="4" customFormat="false" ht="19.5" hidden="false" customHeight="true" outlineLevel="0" collapsed="false">
      <c r="A4" s="17" t="s">
        <v>473</v>
      </c>
      <c r="B4" s="21" t="n">
        <v>5</v>
      </c>
      <c r="C4" s="4" t="s">
        <v>474</v>
      </c>
    </row>
    <row r="5" customFormat="false" ht="19.5" hidden="false" customHeight="true" outlineLevel="0" collapsed="false">
      <c r="A5" s="17" t="s">
        <v>475</v>
      </c>
      <c r="B5" s="21" t="n">
        <v>6</v>
      </c>
      <c r="C5" s="4" t="s">
        <v>476</v>
      </c>
    </row>
    <row r="6" customFormat="false" ht="19.5" hidden="false" customHeight="true" outlineLevel="0" collapsed="false">
      <c r="A6" s="17" t="s">
        <v>477</v>
      </c>
      <c r="B6" s="21" t="n">
        <v>6</v>
      </c>
      <c r="C6" s="4" t="s">
        <v>478</v>
      </c>
    </row>
    <row r="7" customFormat="false" ht="19.5" hidden="false" customHeight="true" outlineLevel="0" collapsed="false">
      <c r="A7" s="17" t="s">
        <v>479</v>
      </c>
      <c r="B7" s="21" t="n">
        <v>2</v>
      </c>
      <c r="C7" s="4" t="s">
        <v>480</v>
      </c>
    </row>
    <row r="8" customFormat="false" ht="19.5" hidden="false" customHeight="true" outlineLevel="0" collapsed="false">
      <c r="A8" s="17" t="s">
        <v>481</v>
      </c>
      <c r="B8" s="21" t="n">
        <v>3</v>
      </c>
      <c r="C8" s="4" t="s">
        <v>482</v>
      </c>
    </row>
    <row r="9" customFormat="false" ht="19.5" hidden="false" customHeight="true" outlineLevel="0" collapsed="false">
      <c r="A9" s="17" t="s">
        <v>483</v>
      </c>
      <c r="B9" s="21" t="n">
        <v>6</v>
      </c>
      <c r="C9" s="4" t="s">
        <v>484</v>
      </c>
    </row>
    <row r="10" customFormat="false" ht="19.5" hidden="false" customHeight="true" outlineLevel="0" collapsed="false">
      <c r="A10" s="17" t="s">
        <v>485</v>
      </c>
      <c r="B10" s="21" t="n">
        <v>0.3</v>
      </c>
      <c r="C10" s="4" t="s">
        <v>486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35"/>
    <col collapsed="false" customWidth="true" hidden="false" outlineLevel="0" max="5" min="5" style="0" width="16"/>
    <col collapsed="false" customWidth="true" hidden="false" outlineLevel="0" max="6" min="6" style="0" width="25"/>
    <col collapsed="false" customWidth="true" hidden="false" outlineLevel="0" max="7" min="7" style="0" width="35"/>
  </cols>
  <sheetData>
    <row r="1" customFormat="false" ht="23.85" hidden="false" customHeight="false" outlineLevel="0" collapsed="false">
      <c r="A1" s="3" t="s">
        <v>487</v>
      </c>
      <c r="B1" s="3" t="s">
        <v>488</v>
      </c>
      <c r="C1" s="3" t="s">
        <v>489</v>
      </c>
      <c r="D1" s="3" t="s">
        <v>490</v>
      </c>
      <c r="E1" s="3" t="s">
        <v>491</v>
      </c>
      <c r="F1" s="3" t="s">
        <v>492</v>
      </c>
      <c r="G1" s="3" t="s">
        <v>337</v>
      </c>
    </row>
    <row r="2" customFormat="false" ht="19.5" hidden="false" customHeight="true" outlineLevel="0" collapsed="false">
      <c r="A2" s="36" t="s">
        <v>493</v>
      </c>
      <c r="B2" s="36" t="s">
        <v>494</v>
      </c>
      <c r="C2" s="36" t="n">
        <v>1</v>
      </c>
      <c r="D2" s="36" t="s">
        <v>8</v>
      </c>
      <c r="E2" s="11" t="n">
        <v>12</v>
      </c>
      <c r="F2" s="36" t="s">
        <v>495</v>
      </c>
      <c r="G2" s="36"/>
    </row>
    <row r="3" customFormat="false" ht="19.5" hidden="false" customHeight="true" outlineLevel="0" collapsed="false">
      <c r="A3" s="36" t="s">
        <v>496</v>
      </c>
      <c r="B3" s="36" t="s">
        <v>494</v>
      </c>
      <c r="C3" s="36" t="n">
        <v>1</v>
      </c>
      <c r="D3" s="36" t="s">
        <v>8</v>
      </c>
      <c r="E3" s="11" t="n">
        <v>10</v>
      </c>
      <c r="F3" s="36" t="s">
        <v>497</v>
      </c>
      <c r="G3" s="36"/>
    </row>
    <row r="4" customFormat="false" ht="19.5" hidden="false" customHeight="true" outlineLevel="0" collapsed="false">
      <c r="A4" s="36" t="s">
        <v>498</v>
      </c>
      <c r="B4" s="36" t="s">
        <v>494</v>
      </c>
      <c r="C4" s="36" t="n">
        <v>1</v>
      </c>
      <c r="D4" s="36" t="s">
        <v>8</v>
      </c>
      <c r="E4" s="11" t="n">
        <v>14</v>
      </c>
      <c r="F4" s="36" t="s">
        <v>499</v>
      </c>
      <c r="G4" s="36"/>
    </row>
    <row r="5" customFormat="false" ht="19.5" hidden="false" customHeight="true" outlineLevel="0" collapsed="false">
      <c r="A5" s="36" t="s">
        <v>500</v>
      </c>
      <c r="B5" s="36" t="s">
        <v>494</v>
      </c>
      <c r="C5" s="36" t="n">
        <v>1</v>
      </c>
      <c r="D5" s="36" t="s">
        <v>8</v>
      </c>
      <c r="E5" s="11" t="n">
        <v>14</v>
      </c>
      <c r="F5" s="36" t="s">
        <v>501</v>
      </c>
      <c r="G5" s="36"/>
    </row>
    <row r="6" customFormat="false" ht="19.5" hidden="false" customHeight="true" outlineLevel="0" collapsed="false">
      <c r="A6" s="36" t="s">
        <v>502</v>
      </c>
      <c r="B6" s="36" t="s">
        <v>494</v>
      </c>
      <c r="C6" s="36" t="n">
        <v>1</v>
      </c>
      <c r="D6" s="36" t="s">
        <v>8</v>
      </c>
      <c r="E6" s="11" t="n">
        <v>12</v>
      </c>
      <c r="F6" s="36" t="s">
        <v>503</v>
      </c>
      <c r="G6" s="36"/>
    </row>
    <row r="7" customFormat="false" ht="19.5" hidden="false" customHeight="true" outlineLevel="0" collapsed="false">
      <c r="A7" s="36" t="s">
        <v>504</v>
      </c>
      <c r="B7" s="36" t="s">
        <v>494</v>
      </c>
      <c r="C7" s="36" t="n">
        <v>1</v>
      </c>
      <c r="D7" s="36" t="s">
        <v>8</v>
      </c>
      <c r="E7" s="11" t="n">
        <v>10</v>
      </c>
      <c r="F7" s="36" t="s">
        <v>505</v>
      </c>
      <c r="G7" s="36"/>
    </row>
    <row r="8" customFormat="false" ht="19.5" hidden="false" customHeight="true" outlineLevel="0" collapsed="false">
      <c r="A8" s="36" t="s">
        <v>506</v>
      </c>
      <c r="B8" s="36" t="s">
        <v>494</v>
      </c>
      <c r="C8" s="36" t="n">
        <v>1</v>
      </c>
      <c r="D8" s="36" t="s">
        <v>496</v>
      </c>
      <c r="E8" s="11" t="n">
        <v>16</v>
      </c>
      <c r="F8" s="36" t="s">
        <v>507</v>
      </c>
      <c r="G8" s="36"/>
    </row>
    <row r="9" customFormat="false" ht="19.5" hidden="false" customHeight="true" outlineLevel="0" collapsed="false">
      <c r="A9" s="36" t="s">
        <v>508</v>
      </c>
      <c r="B9" s="36" t="s">
        <v>494</v>
      </c>
      <c r="C9" s="36" t="n">
        <v>1</v>
      </c>
      <c r="D9" s="36" t="s">
        <v>496</v>
      </c>
      <c r="E9" s="11" t="n">
        <v>18</v>
      </c>
      <c r="F9" s="36" t="s">
        <v>509</v>
      </c>
      <c r="G9" s="36"/>
    </row>
    <row r="10" customFormat="false" ht="19.5" hidden="false" customHeight="true" outlineLevel="0" collapsed="false">
      <c r="A10" s="36" t="s">
        <v>510</v>
      </c>
      <c r="B10" s="36" t="s">
        <v>494</v>
      </c>
      <c r="C10" s="36" t="n">
        <v>2</v>
      </c>
      <c r="D10" s="36" t="s">
        <v>502</v>
      </c>
      <c r="E10" s="11" t="n">
        <v>22</v>
      </c>
      <c r="F10" s="36" t="s">
        <v>511</v>
      </c>
      <c r="G10" s="36"/>
    </row>
    <row r="11" customFormat="false" ht="19.5" hidden="false" customHeight="true" outlineLevel="0" collapsed="false">
      <c r="A11" s="36" t="s">
        <v>512</v>
      </c>
      <c r="B11" s="36" t="s">
        <v>494</v>
      </c>
      <c r="C11" s="36" t="n">
        <v>2</v>
      </c>
      <c r="D11" s="36" t="s">
        <v>496</v>
      </c>
      <c r="E11" s="11" t="n">
        <v>45</v>
      </c>
      <c r="F11" s="36" t="s">
        <v>513</v>
      </c>
      <c r="G11" s="36" t="s">
        <v>514</v>
      </c>
    </row>
    <row r="12" customFormat="false" ht="19.5" hidden="false" customHeight="true" outlineLevel="0" collapsed="false">
      <c r="A12" s="14" t="s">
        <v>515</v>
      </c>
      <c r="B12" s="14" t="s">
        <v>516</v>
      </c>
      <c r="C12" s="14" t="n">
        <v>2</v>
      </c>
      <c r="D12" s="14" t="s">
        <v>493</v>
      </c>
      <c r="E12" s="11" t="n">
        <v>40</v>
      </c>
      <c r="F12" s="14" t="s">
        <v>517</v>
      </c>
      <c r="G12" s="14"/>
    </row>
    <row r="13" customFormat="false" ht="19.5" hidden="false" customHeight="true" outlineLevel="0" collapsed="false">
      <c r="A13" s="14" t="s">
        <v>518</v>
      </c>
      <c r="B13" s="14" t="s">
        <v>516</v>
      </c>
      <c r="C13" s="14" t="n">
        <v>3</v>
      </c>
      <c r="D13" s="14" t="s">
        <v>496</v>
      </c>
      <c r="E13" s="11" t="n">
        <v>45</v>
      </c>
      <c r="F13" s="14" t="s">
        <v>519</v>
      </c>
      <c r="G13" s="14"/>
    </row>
    <row r="14" customFormat="false" ht="19.5" hidden="false" customHeight="true" outlineLevel="0" collapsed="false">
      <c r="A14" s="14" t="s">
        <v>52</v>
      </c>
      <c r="B14" s="14" t="s">
        <v>516</v>
      </c>
      <c r="C14" s="14" t="n">
        <v>3</v>
      </c>
      <c r="D14" s="14" t="s">
        <v>496</v>
      </c>
      <c r="E14" s="11" t="n">
        <v>48</v>
      </c>
      <c r="F14" s="14" t="s">
        <v>505</v>
      </c>
      <c r="G14" s="14"/>
    </row>
    <row r="15" customFormat="false" ht="19.5" hidden="false" customHeight="true" outlineLevel="0" collapsed="false">
      <c r="A15" s="14" t="s">
        <v>520</v>
      </c>
      <c r="B15" s="14" t="s">
        <v>516</v>
      </c>
      <c r="C15" s="14" t="n">
        <v>3</v>
      </c>
      <c r="D15" s="14" t="s">
        <v>521</v>
      </c>
      <c r="E15" s="11" t="n">
        <v>56</v>
      </c>
      <c r="F15" s="14" t="s">
        <v>522</v>
      </c>
      <c r="G15" s="14"/>
    </row>
    <row r="16" customFormat="false" ht="19.5" hidden="false" customHeight="true" outlineLevel="0" collapsed="false">
      <c r="A16" s="14" t="s">
        <v>523</v>
      </c>
      <c r="B16" s="14" t="s">
        <v>516</v>
      </c>
      <c r="C16" s="14" t="n">
        <v>3</v>
      </c>
      <c r="D16" s="14" t="s">
        <v>512</v>
      </c>
      <c r="E16" s="11" t="n">
        <v>52</v>
      </c>
      <c r="F16" s="14" t="s">
        <v>524</v>
      </c>
      <c r="G16" s="14"/>
    </row>
    <row r="17" customFormat="false" ht="19.5" hidden="false" customHeight="true" outlineLevel="0" collapsed="false">
      <c r="A17" s="14" t="s">
        <v>525</v>
      </c>
      <c r="B17" s="14" t="s">
        <v>516</v>
      </c>
      <c r="C17" s="14" t="n">
        <v>4</v>
      </c>
      <c r="D17" s="14" t="s">
        <v>518</v>
      </c>
      <c r="E17" s="11" t="n">
        <v>68</v>
      </c>
      <c r="F17" s="14" t="s">
        <v>526</v>
      </c>
      <c r="G17" s="14"/>
    </row>
    <row r="18" customFormat="false" ht="19.5" hidden="false" customHeight="true" outlineLevel="0" collapsed="false">
      <c r="A18" s="14" t="s">
        <v>527</v>
      </c>
      <c r="B18" s="14" t="s">
        <v>516</v>
      </c>
      <c r="C18" s="14" t="n">
        <v>4</v>
      </c>
      <c r="D18" s="14" t="s">
        <v>518</v>
      </c>
      <c r="E18" s="11" t="n">
        <v>74</v>
      </c>
      <c r="F18" s="14" t="s">
        <v>528</v>
      </c>
      <c r="G18" s="14"/>
    </row>
    <row r="19" customFormat="false" ht="19.5" hidden="false" customHeight="true" outlineLevel="0" collapsed="false">
      <c r="A19" s="14" t="s">
        <v>529</v>
      </c>
      <c r="B19" s="14" t="s">
        <v>516</v>
      </c>
      <c r="C19" s="14" t="n">
        <v>4</v>
      </c>
      <c r="D19" s="14" t="s">
        <v>518</v>
      </c>
      <c r="E19" s="11" t="n">
        <v>62</v>
      </c>
      <c r="F19" s="14" t="s">
        <v>530</v>
      </c>
      <c r="G19" s="14"/>
    </row>
    <row r="20" customFormat="false" ht="19.5" hidden="false" customHeight="true" outlineLevel="0" collapsed="false">
      <c r="A20" s="14" t="s">
        <v>531</v>
      </c>
      <c r="B20" s="14" t="s">
        <v>516</v>
      </c>
      <c r="C20" s="14" t="n">
        <v>5</v>
      </c>
      <c r="D20" s="14" t="s">
        <v>532</v>
      </c>
      <c r="E20" s="11" t="n">
        <v>85</v>
      </c>
      <c r="F20" s="14" t="s">
        <v>533</v>
      </c>
      <c r="G20" s="14"/>
    </row>
    <row r="21" customFormat="false" ht="19.5" hidden="false" customHeight="true" outlineLevel="0" collapsed="false">
      <c r="A21" s="14" t="s">
        <v>534</v>
      </c>
      <c r="B21" s="14" t="s">
        <v>516</v>
      </c>
      <c r="C21" s="14" t="n">
        <v>5</v>
      </c>
      <c r="D21" s="14" t="s">
        <v>535</v>
      </c>
      <c r="E21" s="11" t="n">
        <v>100</v>
      </c>
      <c r="F21" s="14" t="s">
        <v>536</v>
      </c>
      <c r="G21" s="14" t="s">
        <v>537</v>
      </c>
    </row>
    <row r="22" customFormat="false" ht="19.5" hidden="false" customHeight="true" outlineLevel="0" collapsed="false">
      <c r="A22" s="12" t="s">
        <v>538</v>
      </c>
      <c r="B22" s="12" t="s">
        <v>539</v>
      </c>
      <c r="C22" s="12" t="n">
        <v>6</v>
      </c>
      <c r="D22" s="12" t="s">
        <v>512</v>
      </c>
      <c r="E22" s="11" t="n">
        <v>120</v>
      </c>
      <c r="F22" s="12" t="s">
        <v>540</v>
      </c>
      <c r="G22" s="12" t="s">
        <v>541</v>
      </c>
    </row>
    <row r="23" customFormat="false" ht="19.5" hidden="false" customHeight="true" outlineLevel="0" collapsed="false">
      <c r="A23" s="12" t="s">
        <v>542</v>
      </c>
      <c r="B23" s="12" t="s">
        <v>539</v>
      </c>
      <c r="C23" s="12" t="n">
        <v>6</v>
      </c>
      <c r="D23" s="12" t="s">
        <v>531</v>
      </c>
      <c r="E23" s="11" t="n">
        <v>130</v>
      </c>
      <c r="F23" s="12" t="s">
        <v>543</v>
      </c>
      <c r="G23" s="12" t="s">
        <v>544</v>
      </c>
    </row>
    <row r="24" customFormat="false" ht="19.5" hidden="false" customHeight="true" outlineLevel="0" collapsed="false">
      <c r="A24" s="12" t="s">
        <v>545</v>
      </c>
      <c r="B24" s="12" t="s">
        <v>539</v>
      </c>
      <c r="C24" s="12" t="n">
        <v>6</v>
      </c>
      <c r="D24" s="12" t="s">
        <v>546</v>
      </c>
      <c r="E24" s="11" t="n">
        <v>140</v>
      </c>
      <c r="F24" s="12" t="s">
        <v>547</v>
      </c>
      <c r="G24" s="12" t="s">
        <v>548</v>
      </c>
    </row>
    <row r="25" customFormat="false" ht="19.5" hidden="false" customHeight="true" outlineLevel="0" collapsed="false">
      <c r="A25" s="12" t="s">
        <v>549</v>
      </c>
      <c r="B25" s="12" t="s">
        <v>539</v>
      </c>
      <c r="C25" s="12" t="n">
        <v>7</v>
      </c>
      <c r="D25" s="12" t="s">
        <v>550</v>
      </c>
      <c r="E25" s="11" t="n">
        <v>150</v>
      </c>
      <c r="F25" s="12" t="s">
        <v>551</v>
      </c>
      <c r="G25" s="12"/>
    </row>
    <row r="26" customFormat="false" ht="19.5" hidden="false" customHeight="true" outlineLevel="0" collapsed="false">
      <c r="A26" s="12" t="s">
        <v>552</v>
      </c>
      <c r="B26" s="12" t="s">
        <v>539</v>
      </c>
      <c r="C26" s="12" t="n">
        <v>7</v>
      </c>
      <c r="D26" s="12" t="s">
        <v>553</v>
      </c>
      <c r="E26" s="11" t="n">
        <v>155</v>
      </c>
      <c r="F26" s="12" t="s">
        <v>554</v>
      </c>
      <c r="G26" s="12"/>
    </row>
    <row r="27" customFormat="false" ht="19.5" hidden="false" customHeight="true" outlineLevel="0" collapsed="false">
      <c r="A27" s="12" t="s">
        <v>555</v>
      </c>
      <c r="B27" s="12" t="s">
        <v>539</v>
      </c>
      <c r="C27" s="12" t="n">
        <v>7</v>
      </c>
      <c r="D27" s="12" t="s">
        <v>556</v>
      </c>
      <c r="E27" s="11" t="n">
        <v>170</v>
      </c>
      <c r="F27" s="12" t="s">
        <v>557</v>
      </c>
      <c r="G27" s="12" t="s">
        <v>558</v>
      </c>
    </row>
    <row r="28" customFormat="false" ht="19.5" hidden="false" customHeight="true" outlineLevel="0" collapsed="false">
      <c r="A28" s="12" t="s">
        <v>559</v>
      </c>
      <c r="B28" s="12" t="s">
        <v>539</v>
      </c>
      <c r="C28" s="12" t="n">
        <v>7</v>
      </c>
      <c r="D28" s="12" t="s">
        <v>560</v>
      </c>
      <c r="E28" s="11" t="n">
        <v>162</v>
      </c>
      <c r="F28" s="12" t="s">
        <v>561</v>
      </c>
      <c r="G28" s="12" t="s">
        <v>562</v>
      </c>
    </row>
    <row r="29" customFormat="false" ht="19.5" hidden="false" customHeight="true" outlineLevel="0" collapsed="false">
      <c r="A29" s="12" t="s">
        <v>563</v>
      </c>
      <c r="B29" s="12" t="s">
        <v>539</v>
      </c>
      <c r="C29" s="12" t="n">
        <v>8</v>
      </c>
      <c r="D29" s="12" t="s">
        <v>564</v>
      </c>
      <c r="E29" s="11" t="n">
        <v>185</v>
      </c>
      <c r="F29" s="12" t="s">
        <v>565</v>
      </c>
      <c r="G29" s="12" t="s">
        <v>566</v>
      </c>
    </row>
    <row r="30" customFormat="false" ht="19.5" hidden="false" customHeight="true" outlineLevel="0" collapsed="false">
      <c r="A30" s="12" t="s">
        <v>567</v>
      </c>
      <c r="B30" s="12" t="s">
        <v>539</v>
      </c>
      <c r="C30" s="12" t="n">
        <v>8</v>
      </c>
      <c r="D30" s="12" t="s">
        <v>568</v>
      </c>
      <c r="E30" s="11" t="n">
        <v>200</v>
      </c>
      <c r="F30" s="12" t="s">
        <v>569</v>
      </c>
      <c r="G30" s="12" t="s">
        <v>570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55"/>
  </cols>
  <sheetData>
    <row r="1" customFormat="false" ht="23.85" hidden="false" customHeight="false" outlineLevel="0" collapsed="false">
      <c r="A1" s="3" t="s">
        <v>571</v>
      </c>
      <c r="B1" s="3" t="s">
        <v>572</v>
      </c>
      <c r="C1" s="3" t="s">
        <v>573</v>
      </c>
      <c r="D1" s="3" t="s">
        <v>109</v>
      </c>
    </row>
    <row r="2" customFormat="false" ht="21.75" hidden="false" customHeight="true" outlineLevel="0" collapsed="false">
      <c r="A2" s="4" t="s">
        <v>574</v>
      </c>
      <c r="B2" s="11" t="n">
        <v>0.2</v>
      </c>
      <c r="C2" s="13" t="n">
        <f aca="false">B2*100</f>
        <v>20</v>
      </c>
      <c r="D2" s="4" t="s">
        <v>575</v>
      </c>
    </row>
    <row r="3" customFormat="false" ht="21.75" hidden="false" customHeight="true" outlineLevel="0" collapsed="false">
      <c r="A3" s="4" t="s">
        <v>576</v>
      </c>
      <c r="B3" s="11" t="n">
        <v>1</v>
      </c>
      <c r="C3" s="13" t="n">
        <f aca="false">B3*100</f>
        <v>100</v>
      </c>
      <c r="D3" s="4" t="s">
        <v>577</v>
      </c>
    </row>
    <row r="4" customFormat="false" ht="21.75" hidden="false" customHeight="true" outlineLevel="0" collapsed="false">
      <c r="A4" s="4" t="s">
        <v>578</v>
      </c>
      <c r="B4" s="11" t="n">
        <v>5</v>
      </c>
      <c r="C4" s="13" t="n">
        <f aca="false">B4*100</f>
        <v>500</v>
      </c>
      <c r="D4" s="4" t="s">
        <v>579</v>
      </c>
    </row>
    <row r="6" customFormat="false" ht="15" hidden="false" customHeight="false" outlineLevel="0" collapsed="false">
      <c r="A6" s="37" t="s">
        <v>580</v>
      </c>
      <c r="B6" s="37"/>
      <c r="C6" s="37"/>
      <c r="D6" s="37"/>
    </row>
  </sheetData>
  <mergeCells count="1">
    <mergeCell ref="A6:D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2026-06-26T08:08:15Z</dcterms:created>
  <dc:creator>openpyxl</dc:creator>
  <dc:description/>
  <dc:language>en-US</dc:language>
  <cp:lastModifiedBy/>
  <dcterms:modified xsi:type="dcterms:W3CDTF">2026-06-26T08:08:15Z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