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POSTEP-%" sheetId="2" state="visible" r:id="rId2"/>
    <sheet xmlns:r="http://schemas.openxmlformats.org/officeDocument/2006/relationships" name="Status wg grup" sheetId="3" state="visible" r:id="rId3"/>
    <sheet xmlns:r="http://schemas.openxmlformats.org/officeDocument/2006/relationships" name="Taski" sheetId="4" state="visible" r:id="rId4"/>
    <sheet xmlns:r="http://schemas.openxmlformats.org/officeDocument/2006/relationships" name="Civ-SILNIK" sheetId="5" state="visible" r:id="rId5"/>
    <sheet xmlns:r="http://schemas.openxmlformats.org/officeDocument/2006/relationships" name="Civ-EKONOMIA" sheetId="6" state="visible" r:id="rId6"/>
    <sheet xmlns:r="http://schemas.openxmlformats.org/officeDocument/2006/relationships" name="Civ-MIASTO" sheetId="7" state="visible" r:id="rId7"/>
    <sheet xmlns:r="http://schemas.openxmlformats.org/officeDocument/2006/relationships" name="Civ-CYWILIZACJE" sheetId="8" state="visible" r:id="rId8"/>
    <sheet xmlns:r="http://schemas.openxmlformats.org/officeDocument/2006/relationships" name="Civ-AI" sheetId="9" state="visible" r:id="rId9"/>
    <sheet xmlns:r="http://schemas.openxmlformats.org/officeDocument/2006/relationships" name="Civ-UNITS" sheetId="10" state="visible" r:id="rId10"/>
    <sheet xmlns:r="http://schemas.openxmlformats.org/officeDocument/2006/relationships" name="Civ-MAPA" sheetId="11" state="visible" r:id="rId11"/>
    <sheet xmlns:r="http://schemas.openxmlformats.org/officeDocument/2006/relationships" name="Civ-DANE" sheetId="12" state="visible" r:id="rId12"/>
    <sheet xmlns:r="http://schemas.openxmlformats.org/officeDocument/2006/relationships" name="Civ-UI" sheetId="13" state="visible" r:id="rId13"/>
    <sheet xmlns:r="http://schemas.openxmlformats.org/officeDocument/2006/relationships" name="SILNIK-INTEGRACJA" sheetId="14" state="visible" r:id="rId14"/>
    <sheet xmlns:r="http://schemas.openxmlformats.org/officeDocument/2006/relationships" name="PROPOZYCJE-Civ7" sheetId="15" state="visible" r:id="rId15"/>
  </sheets>
  <definedNames>
    <definedName name="_xlnm._FilterDatabase" localSheetId="2" hidden="1">'Status wg grup'!$A$1:$H$49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6"/>
    </font>
    <font>
      <name val="Arial"/>
      <charset val="1"/>
      <family val="0"/>
      <i val="1"/>
      <color rgb="FF555555"/>
      <sz val="10"/>
    </font>
    <font>
      <name val="Arial"/>
      <charset val="1"/>
      <family val="0"/>
      <b val="1"/>
      <color rgb="FF1F3864"/>
      <sz val="12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006100"/>
      <sz val="10"/>
    </font>
    <font>
      <name val="Arial"/>
      <charset val="1"/>
      <family val="0"/>
      <b val="1"/>
      <color rgb="FF9C5700"/>
      <sz val="10"/>
    </font>
    <font>
      <name val="Arial"/>
      <charset val="1"/>
      <family val="0"/>
      <b val="1"/>
      <color rgb="FF7F6000"/>
      <sz val="10"/>
    </font>
    <font>
      <name val="Arial"/>
      <charset val="1"/>
      <family val="0"/>
      <b val="1"/>
      <color rgb="FF9C0006"/>
      <sz val="10"/>
    </font>
    <font>
      <name val="Arial"/>
      <charset val="1"/>
      <family val="0"/>
      <b val="1"/>
      <sz val="11"/>
    </font>
    <font>
      <name val="Arial"/>
      <charset val="1"/>
      <family val="0"/>
      <sz val="10"/>
    </font>
    <font>
      <name val="Arial"/>
      <charset val="1"/>
      <family val="0"/>
      <b val="1"/>
      <sz val="9"/>
    </font>
    <font>
      <name val="Arial"/>
      <charset val="1"/>
      <family val="0"/>
      <b val="1"/>
      <sz val="10"/>
    </font>
    <font>
      <name val="Arial"/>
      <charset val="1"/>
      <family val="0"/>
      <b val="1"/>
      <color rgb="FF1F3864"/>
      <sz val="14"/>
    </font>
    <font>
      <b val="1"/>
      <color rgb="001F3864"/>
      <sz val="14"/>
    </font>
    <font>
      <i val="1"/>
      <color rgb="00595959"/>
    </font>
    <font>
      <b val="1"/>
      <color rgb="00FFFFFF"/>
      <sz val="11"/>
    </font>
    <font>
      <b val="1"/>
      <color rgb="001F3864"/>
      <sz val="13"/>
    </font>
    <font>
      <b val="1"/>
      <color rgb="00FFFFFF"/>
    </font>
    <font>
      <b val="1"/>
    </font>
  </fonts>
  <fills count="18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C6EFCE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FFEB9C"/>
        <bgColor rgb="FFFFF2CC"/>
      </patternFill>
    </fill>
    <fill>
      <patternFill patternType="solid">
        <fgColor rgb="FFFFC7CE"/>
        <bgColor rgb="FFEAD1DC"/>
      </patternFill>
    </fill>
    <fill>
      <patternFill patternType="solid">
        <fgColor rgb="FFDDEBF7"/>
        <bgColor rgb="FFD9E1F2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EAD1DC"/>
        <bgColor rgb="FFE4DFEC"/>
      </patternFill>
    </fill>
    <fill>
      <patternFill patternType="solid">
        <fgColor rgb="FFD9E1F2"/>
        <bgColor rgb="FFE4DFEC"/>
      </patternFill>
    </fill>
    <fill>
      <patternFill patternType="solid">
        <fgColor rgb="FFF2F2F2"/>
        <bgColor rgb="FFE2EFDA"/>
      </patternFill>
    </fill>
    <fill>
      <patternFill patternType="solid">
        <fgColor rgb="FFE4DFEC"/>
        <bgColor rgb="FFD9E1F2"/>
      </patternFill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1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9" fontId="0" fillId="0" borderId="1" applyAlignment="1" pivotButton="0" quotePrefix="0" xfId="0">
      <alignment horizontal="general" vertical="bottom"/>
    </xf>
    <xf numFmtId="0" fontId="9" fillId="4" borderId="1" applyAlignment="1" pivotButton="0" quotePrefix="0" xfId="0">
      <alignment horizontal="general" vertical="bottom"/>
    </xf>
    <xf numFmtId="0" fontId="10" fillId="5" borderId="1" applyAlignment="1" pivotButton="0" quotePrefix="0" xfId="0">
      <alignment horizontal="general" vertical="bottom"/>
    </xf>
    <xf numFmtId="0" fontId="11" fillId="6" borderId="1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0" fontId="13" fillId="7" borderId="1" applyAlignment="1" pivotButton="0" quotePrefix="0" xfId="0">
      <alignment horizontal="general" vertical="bottom"/>
    </xf>
    <xf numFmtId="0" fontId="13" fillId="0" borderId="1" applyAlignment="1" pivotButton="0" quotePrefix="0" xfId="0">
      <alignment horizontal="general" vertical="bottom"/>
    </xf>
    <xf numFmtId="9" fontId="13" fillId="0" borderId="1" applyAlignment="1" pivotButton="0" quotePrefix="0" xfId="0">
      <alignment horizontal="general" vertical="bottom"/>
    </xf>
    <xf numFmtId="0" fontId="13" fillId="8" borderId="1" applyAlignment="1" pivotButton="0" quotePrefix="0" xfId="0">
      <alignment horizontal="general" vertical="bottom"/>
    </xf>
    <xf numFmtId="0" fontId="13" fillId="4" borderId="1" applyAlignment="1" pivotButton="0" quotePrefix="0" xfId="0">
      <alignment horizontal="general" vertical="bottom"/>
    </xf>
    <xf numFmtId="0" fontId="13" fillId="9" borderId="1" applyAlignment="1" pivotButton="0" quotePrefix="0" xfId="0">
      <alignment horizontal="general" vertical="bottom"/>
    </xf>
    <xf numFmtId="0" fontId="13" fillId="10" borderId="1" applyAlignment="1" pivotButton="0" quotePrefix="0" xfId="0">
      <alignment horizontal="general" vertical="bottom"/>
    </xf>
    <xf numFmtId="0" fontId="13" fillId="11" borderId="1" applyAlignment="1" pivotButton="0" quotePrefix="0" xfId="0">
      <alignment horizontal="general" vertical="bottom"/>
    </xf>
    <xf numFmtId="0" fontId="13" fillId="12" borderId="1" applyAlignment="1" pivotButton="0" quotePrefix="0" xfId="0">
      <alignment horizontal="general" vertical="bottom"/>
    </xf>
    <xf numFmtId="0" fontId="7" fillId="2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general" vertical="top" wrapText="1"/>
    </xf>
    <xf numFmtId="0" fontId="13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general" vertical="top" wrapText="1"/>
    </xf>
    <xf numFmtId="0" fontId="14" fillId="4" borderId="1" applyAlignment="1" pivotButton="0" quotePrefix="0" xfId="0">
      <alignment horizontal="general" vertical="top" wrapText="1"/>
    </xf>
    <xf numFmtId="0" fontId="14" fillId="9" borderId="1" applyAlignment="1" pivotButton="0" quotePrefix="0" xfId="0">
      <alignment horizontal="general" vertical="top" wrapText="1"/>
    </xf>
    <xf numFmtId="0" fontId="14" fillId="10" borderId="1" applyAlignment="1" pivotButton="0" quotePrefix="0" xfId="0">
      <alignment horizontal="general" vertical="top" wrapText="1"/>
    </xf>
    <xf numFmtId="0" fontId="14" fillId="11" borderId="1" applyAlignment="1" pivotButton="0" quotePrefix="0" xfId="0">
      <alignment horizontal="general" vertical="top" wrapText="1"/>
    </xf>
    <xf numFmtId="0" fontId="14" fillId="12" borderId="1" applyAlignment="1" pivotButton="0" quotePrefix="0" xfId="0">
      <alignment horizontal="general" vertical="top" wrapText="1"/>
    </xf>
    <xf numFmtId="0" fontId="15" fillId="12" borderId="1" applyAlignment="1" pivotButton="0" quotePrefix="0" xfId="0">
      <alignment horizontal="general" vertical="top" wrapText="1"/>
    </xf>
    <xf numFmtId="0" fontId="15" fillId="4" borderId="1" applyAlignment="1" pivotButton="0" quotePrefix="0" xfId="0">
      <alignment horizontal="general" vertical="top" wrapText="1"/>
    </xf>
    <xf numFmtId="0" fontId="15" fillId="7" borderId="1" applyAlignment="1" pivotButton="0" quotePrefix="0" xfId="0">
      <alignment horizontal="general" vertical="top" wrapText="1"/>
    </xf>
    <xf numFmtId="0" fontId="15" fillId="8" borderId="1" applyAlignment="1" pivotButton="0" quotePrefix="0" xfId="0">
      <alignment horizontal="general" vertical="top" wrapText="1"/>
    </xf>
    <xf numFmtId="0" fontId="15" fillId="10" borderId="1" applyAlignment="1" pivotButton="0" quotePrefix="0" xfId="0">
      <alignment horizontal="general" vertical="top" wrapText="1"/>
    </xf>
    <xf numFmtId="0" fontId="15" fillId="11" borderId="1" applyAlignment="1" pivotButton="0" quotePrefix="0" xfId="0">
      <alignment horizontal="general" vertical="top" wrapText="1"/>
    </xf>
    <xf numFmtId="0" fontId="15" fillId="9" borderId="1" applyAlignment="1" pivotButton="0" quotePrefix="0" xfId="0">
      <alignment horizontal="general" vertical="top" wrapText="1"/>
    </xf>
    <xf numFmtId="0" fontId="15" fillId="13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bottom"/>
    </xf>
    <xf numFmtId="0" fontId="13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9" fontId="0" fillId="0" borderId="1" applyAlignment="1" pivotButton="0" quotePrefix="0" xfId="0">
      <alignment horizontal="general" vertical="bottom"/>
    </xf>
    <xf numFmtId="0" fontId="9" fillId="4" borderId="1" applyAlignment="1" pivotButton="0" quotePrefix="0" xfId="0">
      <alignment horizontal="general" vertical="bottom"/>
    </xf>
    <xf numFmtId="0" fontId="10" fillId="5" borderId="1" applyAlignment="1" pivotButton="0" quotePrefix="0" xfId="0">
      <alignment horizontal="general" vertical="bottom"/>
    </xf>
    <xf numFmtId="0" fontId="11" fillId="6" borderId="1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0" fontId="13" fillId="7" borderId="1" applyAlignment="1" pivotButton="0" quotePrefix="0" xfId="0">
      <alignment horizontal="general" vertical="bottom"/>
    </xf>
    <xf numFmtId="0" fontId="13" fillId="0" borderId="1" applyAlignment="1" pivotButton="0" quotePrefix="0" xfId="0">
      <alignment horizontal="general" vertical="bottom"/>
    </xf>
    <xf numFmtId="9" fontId="13" fillId="0" borderId="1" applyAlignment="1" pivotButton="0" quotePrefix="0" xfId="0">
      <alignment horizontal="general" vertical="bottom"/>
    </xf>
    <xf numFmtId="0" fontId="13" fillId="8" borderId="1" applyAlignment="1" pivotButton="0" quotePrefix="0" xfId="0">
      <alignment horizontal="general" vertical="bottom"/>
    </xf>
    <xf numFmtId="0" fontId="13" fillId="4" borderId="1" applyAlignment="1" pivotButton="0" quotePrefix="0" xfId="0">
      <alignment horizontal="general" vertical="bottom"/>
    </xf>
    <xf numFmtId="0" fontId="13" fillId="9" borderId="1" applyAlignment="1" pivotButton="0" quotePrefix="0" xfId="0">
      <alignment horizontal="general" vertical="bottom"/>
    </xf>
    <xf numFmtId="0" fontId="13" fillId="10" borderId="1" applyAlignment="1" pivotButton="0" quotePrefix="0" xfId="0">
      <alignment horizontal="general" vertical="bottom"/>
    </xf>
    <xf numFmtId="0" fontId="13" fillId="11" borderId="1" applyAlignment="1" pivotButton="0" quotePrefix="0" xfId="0">
      <alignment horizontal="general" vertical="bottom"/>
    </xf>
    <xf numFmtId="0" fontId="13" fillId="12" borderId="1" applyAlignment="1" pivotButton="0" quotePrefix="0" xfId="0">
      <alignment horizontal="general" vertical="bottom"/>
    </xf>
    <xf numFmtId="0" fontId="7" fillId="2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general" vertical="top" wrapText="1"/>
    </xf>
    <xf numFmtId="0" fontId="13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general" vertical="top" wrapText="1"/>
    </xf>
    <xf numFmtId="0" fontId="14" fillId="4" borderId="1" applyAlignment="1" pivotButton="0" quotePrefix="0" xfId="0">
      <alignment horizontal="general" vertical="top" wrapText="1"/>
    </xf>
    <xf numFmtId="0" fontId="14" fillId="9" borderId="1" applyAlignment="1" pivotButton="0" quotePrefix="0" xfId="0">
      <alignment horizontal="general" vertical="top" wrapText="1"/>
    </xf>
    <xf numFmtId="0" fontId="14" fillId="10" borderId="1" applyAlignment="1" pivotButton="0" quotePrefix="0" xfId="0">
      <alignment horizontal="general" vertical="top" wrapText="1"/>
    </xf>
    <xf numFmtId="0" fontId="14" fillId="11" borderId="1" applyAlignment="1" pivotButton="0" quotePrefix="0" xfId="0">
      <alignment horizontal="general" vertical="top" wrapText="1"/>
    </xf>
    <xf numFmtId="0" fontId="14" fillId="12" borderId="1" applyAlignment="1" pivotButton="0" quotePrefix="0" xfId="0">
      <alignment horizontal="general" vertical="top" wrapText="1"/>
    </xf>
    <xf numFmtId="0" fontId="15" fillId="12" borderId="1" applyAlignment="1" pivotButton="0" quotePrefix="0" xfId="0">
      <alignment horizontal="general" vertical="top" wrapText="1"/>
    </xf>
    <xf numFmtId="0" fontId="15" fillId="4" borderId="1" applyAlignment="1" pivotButton="0" quotePrefix="0" xfId="0">
      <alignment horizontal="general" vertical="top" wrapText="1"/>
    </xf>
    <xf numFmtId="0" fontId="15" fillId="7" borderId="1" applyAlignment="1" pivotButton="0" quotePrefix="0" xfId="0">
      <alignment horizontal="general" vertical="top" wrapText="1"/>
    </xf>
    <xf numFmtId="0" fontId="15" fillId="8" borderId="1" applyAlignment="1" pivotButton="0" quotePrefix="0" xfId="0">
      <alignment horizontal="general" vertical="top" wrapText="1"/>
    </xf>
    <xf numFmtId="0" fontId="15" fillId="10" borderId="1" applyAlignment="1" pivotButton="0" quotePrefix="0" xfId="0">
      <alignment horizontal="general" vertical="top" wrapText="1"/>
    </xf>
    <xf numFmtId="0" fontId="15" fillId="11" borderId="1" applyAlignment="1" pivotButton="0" quotePrefix="0" xfId="0">
      <alignment horizontal="general" vertical="top" wrapText="1"/>
    </xf>
    <xf numFmtId="0" fontId="15" fillId="9" borderId="1" applyAlignment="1" pivotButton="0" quotePrefix="0" xfId="0">
      <alignment horizontal="general" vertical="top" wrapText="1"/>
    </xf>
    <xf numFmtId="0" fontId="15" fillId="13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bottom"/>
    </xf>
    <xf numFmtId="0" fontId="13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top" wrapText="1"/>
    </xf>
    <xf numFmtId="0" fontId="17" fillId="0" borderId="0" pivotButton="0" quotePrefix="0" xfId="0"/>
    <xf numFmtId="0" fontId="18" fillId="0" borderId="0" pivotButton="0" quotePrefix="0" xfId="0"/>
    <xf numFmtId="0" fontId="19" fillId="14" borderId="2" applyAlignment="1" pivotButton="0" quotePrefix="0" xfId="0">
      <alignment vertical="center"/>
    </xf>
    <xf numFmtId="0" fontId="0" fillId="0" borderId="2" applyAlignment="1" pivotButton="0" quotePrefix="0" xfId="0">
      <alignment vertical="top" wrapText="1"/>
    </xf>
    <xf numFmtId="0" fontId="0" fillId="15" borderId="2" applyAlignment="1" pivotButton="0" quotePrefix="0" xfId="0">
      <alignment vertical="top" wrapText="1"/>
    </xf>
    <xf numFmtId="0" fontId="0" fillId="16" borderId="2" applyAlignment="1" pivotButton="0" quotePrefix="0" xfId="0">
      <alignment vertical="top" wrapText="1"/>
    </xf>
    <xf numFmtId="0" fontId="0" fillId="17" borderId="2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17" borderId="0" applyAlignment="1" pivotButton="0" quotePrefix="0" xfId="0">
      <alignment vertical="top" wrapText="1"/>
    </xf>
    <xf numFmtId="0" fontId="20" fillId="0" borderId="0" pivotButton="0" quotePrefix="0" xfId="0"/>
    <xf numFmtId="0" fontId="21" fillId="14" borderId="2" pivotButton="0" quotePrefix="0" xfId="0"/>
    <xf numFmtId="0" fontId="22" fillId="0" borderId="2" applyAlignment="1" pivotButton="0" quotePrefix="0" xfId="0">
      <alignment vertical="top" wrapText="1"/>
    </xf>
    <xf numFmtId="0" fontId="22" fillId="0" borderId="0" pivotButton="0" quotePrefix="0" xfId="0"/>
    <xf numFmtId="0" fontId="22" fillId="16" borderId="0" pivotButton="0" quotePrefix="0" xfId="0"/>
    <xf numFmtId="0" fontId="22" fillId="17" borderId="0" pivotButton="0" quotePrefix="0" xfId="0"/>
    <xf numFmtId="0" fontId="0" fillId="17" borderId="2" applyAlignment="1" pivotButton="0" quotePrefix="0" xfId="0">
      <alignment horizontal="center"/>
    </xf>
    <xf numFmtId="0" fontId="0" fillId="16" borderId="2" applyAlignment="1" pivotButton="0" quotePrefix="0" xfId="0">
      <alignment horizontal="center"/>
    </xf>
    <xf numFmtId="0" fontId="0" fillId="15" borderId="2" applyAlignment="1" pivotButton="0" quotePrefix="0" xfId="0">
      <alignment horizontal="center"/>
    </xf>
    <xf numFmtId="0" fontId="13" fillId="15" borderId="1" applyAlignment="1" pivotButton="0" quotePrefix="0" xfId="0">
      <alignment horizontal="center" vertical="center"/>
    </xf>
    <xf numFmtId="0" fontId="13" fillId="15" borderId="1" applyAlignment="1" pivotButton="0" quotePrefix="0" xfId="0">
      <alignment horizontal="general" vertical="top" wrapText="1"/>
    </xf>
    <xf numFmtId="0" fontId="15" fillId="15" borderId="1" applyAlignment="1" pivotButton="0" quotePrefix="0" xfId="0">
      <alignment horizontal="center" vertical="center"/>
    </xf>
    <xf numFmtId="0" fontId="0" fillId="15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0">
    <dxf>
      <fill>
        <patternFill patternType="solid">
          <fgColor rgb="FF1F3864"/>
          <bgColor rgb="FF000000"/>
        </patternFill>
      </fill>
    </dxf>
    <dxf>
      <fill>
        <patternFill patternType="solid">
          <fgColor rgb="FFD9E1F2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EAD1DC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7F6000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2F2F2"/>
      <rgbColor rgb="FFFF00FF"/>
      <rgbColor rgb="FF00FFFF"/>
      <rgbColor rgb="FF9C0006"/>
      <rgbColor rgb="FF006100"/>
      <rgbColor rgb="FF000080"/>
      <rgbColor rgb="FF7F6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E4DFEC"/>
      <rgbColor rgb="FFEAD1DC"/>
      <rgbColor rgb="FFFCE4D6"/>
      <rgbColor rgb="FFFFC7CE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864"/>
      <rgbColor rgb="FF339966"/>
      <rgbColor rgb="FF003300"/>
      <rgbColor rgb="FF333300"/>
      <rgbColor rgb="FF9C57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2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2" customWidth="1" style="47" min="1" max="1"/>
    <col width="12" customWidth="1" style="47" min="2" max="4"/>
  </cols>
  <sheetData>
    <row r="1" ht="19.5" customHeight="1" s="48">
      <c r="A1" s="49" t="inlineStr">
        <is>
          <t>THE GAME (Civ) - status wg GRUP zadan</t>
        </is>
      </c>
    </row>
    <row r="2" ht="15" customHeight="1" s="48">
      <c r="A2" s="50" t="inlineStr">
        <is>
          <t>Wszystkie elementy pogrupowane po TYPIE zadania (milestone = tylko znacznik pochodzenia).</t>
        </is>
      </c>
    </row>
    <row r="3" ht="15" customHeight="1" s="48">
      <c r="A3" s="50" t="inlineStr">
        <is>
          <t>Stan: 2026-06-24 (integracja MIASTO wpieta, kanon przebudowany e6bd460)</t>
        </is>
      </c>
    </row>
    <row r="5" ht="15" customHeight="1" s="48">
      <c r="A5" s="51" t="inlineStr">
        <is>
          <t>STATYSTYKA wg STATUSU</t>
        </is>
      </c>
    </row>
    <row r="6" ht="15" customHeight="1" s="48">
      <c r="A6" s="52" t="inlineStr">
        <is>
          <t>Status</t>
        </is>
      </c>
      <c r="B6" s="52" t="inlineStr">
        <is>
          <t>Liczba</t>
        </is>
      </c>
      <c r="C6" s="52" t="inlineStr">
        <is>
          <t>Udzial</t>
        </is>
      </c>
    </row>
    <row r="7" ht="15" customHeight="1" s="48">
      <c r="A7" s="53" t="inlineStr">
        <is>
          <t>Zrobione</t>
        </is>
      </c>
      <c r="B7" s="54">
        <f>COUNTIF('Status wg grup'!C2:C49,"Zrobione")</f>
        <v/>
      </c>
      <c r="C7" s="55">
        <f>B7/$B$11</f>
        <v/>
      </c>
    </row>
    <row r="8" ht="15" customHeight="1" s="48">
      <c r="A8" s="56" t="inlineStr">
        <is>
          <t>Gotowe, niewpiete</t>
        </is>
      </c>
      <c r="B8" s="54">
        <f>COUNTIF('Status wg grup'!C2:C49,"Gotowe, niewpiete")</f>
        <v/>
      </c>
      <c r="C8" s="55">
        <f>B8/$B$11</f>
        <v/>
      </c>
    </row>
    <row r="9" ht="15" customHeight="1" s="48">
      <c r="A9" s="57" t="inlineStr">
        <is>
          <t>Czesciowo</t>
        </is>
      </c>
      <c r="B9" s="54">
        <f>COUNTIF('Status wg grup'!C2:C49,"Czesciowo")</f>
        <v/>
      </c>
      <c r="C9" s="55">
        <f>B9/$B$11</f>
        <v/>
      </c>
    </row>
    <row r="10" ht="15" customHeight="1" s="48">
      <c r="A10" s="58" t="inlineStr">
        <is>
          <t>Niezrobione</t>
        </is>
      </c>
      <c r="B10" s="54">
        <f>COUNTIF('Status wg grup'!C2:C49,"Niezrobione")</f>
        <v/>
      </c>
      <c r="C10" s="55">
        <f>B10/$B$11</f>
        <v/>
      </c>
    </row>
    <row r="11" ht="15" customHeight="1" s="48">
      <c r="A11" s="59" t="inlineStr">
        <is>
          <t>RAZEM</t>
        </is>
      </c>
      <c r="B11" s="59">
        <f>COUNTA('Status wg grup'!B2:B49)</f>
        <v/>
      </c>
    </row>
    <row r="13" ht="15" customHeight="1" s="48">
      <c r="A13" s="51" t="inlineStr">
        <is>
          <t>GRUPY (wlasciciel taska)</t>
        </is>
      </c>
    </row>
    <row r="14" ht="15" customHeight="1" s="48">
      <c r="A14" s="52" t="inlineStr">
        <is>
          <t>Grupa</t>
        </is>
      </c>
      <c r="B14" s="52" t="inlineStr">
        <is>
          <t>Razem</t>
        </is>
      </c>
      <c r="C14" s="52" t="inlineStr">
        <is>
          <t>Zrobione</t>
        </is>
      </c>
      <c r="D14" s="52" t="inlineStr">
        <is>
          <t>% w grze</t>
        </is>
      </c>
    </row>
    <row r="15" ht="15" customHeight="1" s="48">
      <c r="A15" s="60" t="inlineStr">
        <is>
          <t>A. Jednostki i walka  [Civ-UNITS]</t>
        </is>
      </c>
      <c r="B15" s="61">
        <f>COUNTIF('Status wg grup'!A2:A49,"A. Jednostki i walka")</f>
        <v/>
      </c>
      <c r="C15" s="61">
        <f>COUNTIFS('Status wg grup'!A2:A49,"A. Jednostki i walka",'Status wg grup'!C2:C49,"Zrobione")</f>
        <v/>
      </c>
      <c r="D15" s="62">
        <f>IF(B15=0,0,C15/B15)</f>
        <v/>
      </c>
    </row>
    <row r="16" ht="15" customHeight="1" s="48">
      <c r="A16" s="63" t="inlineStr">
        <is>
          <t>B. Mapa i teren  [Civ-MAPA]</t>
        </is>
      </c>
      <c r="B16" s="61">
        <f>COUNTIF('Status wg grup'!A2:A49,"B. Mapa i teren")</f>
        <v/>
      </c>
      <c r="C16" s="61">
        <f>COUNTIFS('Status wg grup'!A2:A49,"B. Mapa i teren",'Status wg grup'!C2:C49,"Zrobione")</f>
        <v/>
      </c>
      <c r="D16" s="62">
        <f>IF(B16=0,0,C16/B16)</f>
        <v/>
      </c>
    </row>
    <row r="17" ht="15" customHeight="1" s="48">
      <c r="A17" s="64" t="inlineStr">
        <is>
          <t>C. Miasta, ekonomia, produkcja  [Civ-SILNIK/LOGIKA/UI]</t>
        </is>
      </c>
      <c r="B17" s="61">
        <f>COUNTIF('Status wg grup'!A2:A49,"C. Miasta, ekonomia, produkcja")</f>
        <v/>
      </c>
      <c r="C17" s="61">
        <f>COUNTIFS('Status wg grup'!A2:A49,"C. Miasta, ekonomia, produkcja",'Status wg grup'!C2:C49,"Zrobione")</f>
        <v/>
      </c>
      <c r="D17" s="62">
        <f>IF(B17=0,0,C17/B17)</f>
        <v/>
      </c>
    </row>
    <row r="18" ht="15" customHeight="1" s="48">
      <c r="A18" s="65" t="inlineStr">
        <is>
          <t>D. AI, przeciwnicy, rozgrywka  [Civ-SILNIK/LOGIKA]</t>
        </is>
      </c>
      <c r="B18" s="61">
        <f>COUNTIF('Status wg grup'!A2:A49,"D. AI, przeciwnicy, rozgrywka")</f>
        <v/>
      </c>
      <c r="C18" s="61">
        <f>COUNTIFS('Status wg grup'!A2:A49,"D. AI, przeciwnicy, rozgrywka",'Status wg grup'!C2:C49,"Zrobione")</f>
        <v/>
      </c>
      <c r="D18" s="62">
        <f>IF(B18=0,0,C18/B18)</f>
        <v/>
      </c>
    </row>
    <row r="19" ht="15" customHeight="1" s="48">
      <c r="A19" s="66" t="inlineStr">
        <is>
          <t>E. Cywilizacje, dyplomacja, spoleczenstwo  [Civ-DANE/SILNIK]</t>
        </is>
      </c>
      <c r="B19" s="61">
        <f>COUNTIF('Status wg grup'!A2:A49,"E. Cywilizacje, dyplomacja, spoleczenstwo")</f>
        <v/>
      </c>
      <c r="C19" s="61">
        <f>COUNTIFS('Status wg grup'!A2:A49,"E. Cywilizacje, dyplomacja, spoleczenstwo",'Status wg grup'!C2:C49,"Zrobione")</f>
        <v/>
      </c>
      <c r="D19" s="62">
        <f>IF(B19=0,0,C19/B19)</f>
        <v/>
      </c>
    </row>
    <row r="20" ht="15" customHeight="1" s="48">
      <c r="A20" s="67" t="inlineStr">
        <is>
          <t>F. Interfejs (UI/HUD/menu)  [Civ-UI]</t>
        </is>
      </c>
      <c r="B20" s="61">
        <f>COUNTIF('Status wg grup'!A2:A49,"F. Interfejs (UI/HUD/menu)")</f>
        <v/>
      </c>
      <c r="C20" s="61">
        <f>COUNTIFS('Status wg grup'!A2:A49,"F. Interfejs (UI/HUD/menu)",'Status wg grup'!C2:C49,"Zrobione")</f>
        <v/>
      </c>
      <c r="D20" s="62">
        <f>IF(B20=0,0,C20/B20)</f>
        <v/>
      </c>
    </row>
    <row r="21" ht="15" customHeight="1" s="48">
      <c r="A21" s="68" t="inlineStr">
        <is>
          <t>G. Zapis, meta, nowa gra  [Civ-SILNIK]</t>
        </is>
      </c>
      <c r="B21" s="61">
        <f>COUNTIF('Status wg grup'!A2:A49,"G. Zapis, meta, nowa gra")</f>
        <v/>
      </c>
      <c r="C21" s="61">
        <f>COUNTIFS('Status wg grup'!A2:A49,"G. Zapis, meta, nowa gra",'Status wg grup'!C2:C49,"Zrobione")</f>
        <v/>
      </c>
      <c r="D21" s="62">
        <f>IF(B21=0,0,C21/B21)</f>
        <v/>
      </c>
    </row>
    <row r="22" ht="15" customHeight="1" s="48">
      <c r="A22" s="63" t="inlineStr">
        <is>
          <t>H. Infrastruktura i koordynacja  [Civ-MASTER/SILNIK]</t>
        </is>
      </c>
      <c r="B22" s="61">
        <f>COUNTIF('Status wg grup'!A2:A49,"H. Infrastruktura i koordynacja")</f>
        <v/>
      </c>
      <c r="C22" s="61">
        <f>COUNTIFS('Status wg grup'!A2:A49,"H. Infrastruktura i koordynacja",'Status wg grup'!C2:C49,"Zrobione")</f>
        <v/>
      </c>
      <c r="D22" s="62">
        <f>IF(B22=0,0,C22/B22)</f>
        <v/>
      </c>
    </row>
    <row r="23" ht="15" customHeight="1" s="48">
      <c r="A23" s="68" t="inlineStr">
        <is>
          <t>I. Przyszlosc (M7)  [(pozniej)]</t>
        </is>
      </c>
      <c r="B23" s="61">
        <f>COUNTIF('Status wg grup'!A2:A49,"I. Przyszlosc (M7)")</f>
        <v/>
      </c>
      <c r="C23" s="61">
        <f>COUNTIFS('Status wg grup'!A2:A49,"I. Przyszlosc (M7)",'Status wg grup'!C2:C49,"Zrobione")</f>
        <v/>
      </c>
      <c r="D23" s="62">
        <f>IF(B23=0,0,C23/B23)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style="48" min="1" max="1"/>
    <col width="16" customWidth="1" style="48" min="2" max="2"/>
    <col width="40" customWidth="1" style="48" min="3" max="3"/>
    <col width="46" customWidth="1" style="48" min="4" max="4"/>
    <col width="30" customWidth="1" style="48" min="5" max="5"/>
  </cols>
  <sheetData>
    <row r="1">
      <c r="A1" s="103" t="inlineStr">
        <is>
          <t>POSTEP PROJEKTU — szacunek mastera (2026-06-24)</t>
        </is>
      </c>
    </row>
    <row r="3">
      <c r="A3" s="104" t="inlineStr">
        <is>
          <t>Dzial</t>
        </is>
      </c>
      <c r="B3" s="104" t="inlineStr">
        <is>
          <t>% wlasnego zakresu</t>
        </is>
      </c>
      <c r="C3" s="104" t="inlineStr">
        <is>
          <t>Co zielone</t>
        </is>
      </c>
      <c r="D3" s="104" t="inlineStr">
        <is>
          <t>Co zostalo</t>
        </is>
      </c>
      <c r="E3" s="104" t="inlineStr">
        <is>
          <t>Blokery</t>
        </is>
      </c>
    </row>
    <row r="4">
      <c r="A4" s="105" t="inlineStr">
        <is>
          <t>MIASTO</t>
        </is>
      </c>
      <c r="B4" s="98" t="inlineStr">
        <is>
          <t>88%</t>
        </is>
      </c>
      <c r="C4" s="97" t="inlineStr">
        <is>
          <t>produkcja/porzadek/kultura/religia 163/163 (WPIETE), dane+panele</t>
        </is>
      </c>
      <c r="D4" s="97" t="inlineStr">
        <is>
          <t>etap2 (spread/growthMult/tradeMult), bonusy ulepszen, pula Pracy</t>
        </is>
      </c>
      <c r="E4" s="97" t="inlineStr">
        <is>
          <t>-</t>
        </is>
      </c>
    </row>
    <row r="5">
      <c r="A5" s="105" t="inlineStr">
        <is>
          <t>UNITS</t>
        </is>
      </c>
      <c r="B5" s="98" t="inlineStr">
        <is>
          <t>85%</t>
        </is>
      </c>
      <c r="C5" s="97" t="inlineStr">
        <is>
          <t>modele, AI bitwy, morale, balans, podglad bitwy 876KB</t>
        </is>
      </c>
      <c r="D5" s="97" t="inlineStr">
        <is>
          <t>modele nowych jednostek, scalenie bitwy do kanonu (10A)</t>
        </is>
      </c>
      <c r="E5" s="97" t="inlineStr">
        <is>
          <t>-</t>
        </is>
      </c>
    </row>
    <row r="6">
      <c r="A6" s="105" t="inlineStr">
        <is>
          <t>UI</t>
        </is>
      </c>
      <c r="B6" s="99" t="inlineStr">
        <is>
          <t>78%</t>
        </is>
      </c>
      <c r="C6" s="97" t="inlineStr">
        <is>
          <t>cityPanel, menu, kreator nowej gry, AI read-only, hooki</t>
        </is>
      </c>
      <c r="D6" s="97" t="inlineStr">
        <is>
          <t>paczka zwrotna, wpiecie paneli</t>
        </is>
      </c>
      <c r="E6" s="97" t="inlineStr">
        <is>
          <t>-</t>
        </is>
      </c>
    </row>
    <row r="7">
      <c r="A7" s="105" t="inlineStr">
        <is>
          <t>EKONOMIA</t>
        </is>
      </c>
      <c r="B7" s="99" t="inlineStr">
        <is>
          <t>70%</t>
        </is>
      </c>
      <c r="C7" s="97" t="inlineStr">
        <is>
          <t>economy/turn-economy, upkeep 51/51, converters 30/30</t>
        </is>
      </c>
      <c r="D7" s="97" t="inlineStr">
        <is>
          <t>WEALTH (kod), migracja compound, growthMult, wpiecie</t>
        </is>
      </c>
      <c r="E7" s="97" t="inlineStr">
        <is>
          <t>decyzje Wealth W1-W6</t>
        </is>
      </c>
    </row>
    <row r="8">
      <c r="A8" s="105" t="inlineStr">
        <is>
          <t>MAPA</t>
        </is>
      </c>
      <c r="B8" s="99" t="inlineStr">
        <is>
          <t>70%</t>
        </is>
      </c>
      <c r="C8" s="97" t="inlineStr">
        <is>
          <t>teren/rzeki/miasta(kamien+braz GR/RZ)/surowce/generator</t>
        </is>
      </c>
      <c r="D8" s="97" t="inlineStr">
        <is>
          <t>reszta nacji braz, ulepszenia+posterunki, wpiecie renderu</t>
        </is>
      </c>
      <c r="E8" s="97" t="inlineStr">
        <is>
          <t>akceptacja ulepszen/posterunkow</t>
        </is>
      </c>
    </row>
    <row r="9">
      <c r="A9" s="105" t="inlineStr">
        <is>
          <t>CYWILIZACJE</t>
        </is>
      </c>
      <c r="B9" s="99" t="inlineStr">
        <is>
          <t>68%</t>
        </is>
      </c>
      <c r="C9" s="97" t="inlineStr">
        <is>
          <t>roster 9, religie, diplomacy 90/90, victory, barbarians 53/0, panele</t>
        </is>
      </c>
      <c r="D9" s="97" t="inlineStr">
        <is>
          <t>ai.ts test+strojenie, archetypy 7-&gt;9, heurystyka nauki, wartosci, wpiecie</t>
        </is>
      </c>
      <c r="E9" s="97" t="inlineStr">
        <is>
          <t>niejasnosc wlasnosci(1-4), klaster MAPA, budzet EKONOMIA</t>
        </is>
      </c>
    </row>
    <row r="10">
      <c r="A10" s="105" t="inlineStr">
        <is>
          <t>SILNIK / INTEGRACJA (master)</t>
        </is>
      </c>
      <c r="B10" s="99" t="inlineStr">
        <is>
          <t>70%</t>
        </is>
      </c>
      <c r="C10" s="97" t="inlineStr">
        <is>
          <t>WPIETE+ZWERYFIKOWANE: ekonomia, AI rywale+barbarzyncy+victory, render miast/surowcow, zakladanie-z-mapy (Osadnik usuniety). Clean build OK, kanon 591d5763.</t>
        </is>
      </c>
      <c r="D10" s="97" t="inlineStr">
        <is>
          <t>dyplomacja tick (niski prio), wpiecie ulepszen/posterunkow (blok: decyzja), save, nowa gra, wealth (blok), roster-&gt;runtime (AI uzywa fallback 'grecy'), pula Pracy</t>
        </is>
      </c>
      <c r="E10" s="97" t="inlineStr">
        <is>
          <t>decyzje + handoffy</t>
        </is>
      </c>
    </row>
    <row r="12">
      <c r="A12" s="106" t="inlineStr">
        <is>
          <t>Srednia gotowosc MODULOW (dzialy, bez integracji)</t>
        </is>
      </c>
      <c r="B12" s="107" t="inlineStr">
        <is>
          <t>~76%</t>
        </is>
      </c>
    </row>
    <row r="13">
      <c r="A13" s="106" t="inlineStr">
        <is>
          <t>Integracja w GRE (wpiete w petle tury)</t>
        </is>
      </c>
      <c r="B13" s="107" t="inlineStr">
        <is>
          <t>~70%</t>
        </is>
      </c>
    </row>
    <row r="14">
      <c r="A14" s="106" t="inlineStr">
        <is>
          <t>REALNA GRYWALNOSC v0.1 (integracja = waskie gardlo)</t>
        </is>
      </c>
      <c r="B14" s="107" t="inlineStr">
        <is>
          <t>~70%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34" customWidth="1" style="47" min="1" max="1"/>
    <col width="44" customWidth="1" style="47" min="2" max="2"/>
    <col width="18" customWidth="1" style="47" min="3" max="3"/>
    <col width="38" customWidth="1" style="47" min="4" max="4"/>
    <col width="36" customWidth="1" style="47" min="5" max="5"/>
    <col width="18" customWidth="1" style="47" min="6" max="6"/>
    <col width="14" customWidth="1" style="47" min="7" max="7"/>
    <col width="10" customWidth="1" style="47" min="8" max="8"/>
  </cols>
  <sheetData>
    <row r="1" ht="26.25" customHeight="1" s="48">
      <c r="A1" s="69" t="inlineStr">
        <is>
          <t>Grupa</t>
        </is>
      </c>
      <c r="B1" s="69" t="inlineStr">
        <is>
          <t>Element / funkcja</t>
        </is>
      </c>
      <c r="C1" s="69" t="inlineStr">
        <is>
          <t>Status</t>
        </is>
      </c>
      <c r="D1" s="69" t="inlineStr">
        <is>
          <t>Co JUZ jest zrobione</t>
        </is>
      </c>
      <c r="E1" s="69" t="inlineStr">
        <is>
          <t>Co zostalo</t>
        </is>
      </c>
      <c r="F1" s="69" t="inlineStr">
        <is>
          <t>Task (Civ-)</t>
        </is>
      </c>
      <c r="G1" s="69" t="inlineStr">
        <is>
          <t>Milestone (poch.)</t>
        </is>
      </c>
      <c r="H1" s="69" t="inlineStr">
        <is>
          <t>Prio</t>
        </is>
      </c>
    </row>
    <row r="2" ht="15" customHeight="1" s="48">
      <c r="A2" s="70" t="inlineStr">
        <is>
          <t>A. Jednostki i walka</t>
        </is>
      </c>
      <c r="B2" s="71" t="inlineStr">
        <is>
          <t>Modele jednostek (Roblox) + galeria</t>
        </is>
      </c>
      <c r="C2" s="72" t="inlineStr">
        <is>
          <t>Zrobione</t>
        </is>
      </c>
      <c r="D2" s="71" t="inlineStr">
        <is>
          <t>36 typow, galeria 4 widoki</t>
        </is>
      </c>
      <c r="E2" s="71" t="inlineStr">
        <is>
          <t>-</t>
        </is>
      </c>
      <c r="F2" s="71" t="inlineStr">
        <is>
          <t>Civ-UNITS</t>
        </is>
      </c>
      <c r="G2" s="71" t="inlineStr">
        <is>
          <t>M1</t>
        </is>
      </c>
      <c r="H2" s="71" t="inlineStr">
        <is>
          <t>-</t>
        </is>
      </c>
    </row>
    <row r="3" ht="15" customHeight="1" s="48">
      <c r="A3" s="70" t="inlineStr">
        <is>
          <t>A. Jednostki i walka</t>
        </is>
      </c>
      <c r="B3" s="71" t="inlineStr">
        <is>
          <t>Kolory per kultura + super-jedn. + helmy + galea</t>
        </is>
      </c>
      <c r="C3" s="72" t="inlineStr">
        <is>
          <t>Zrobione</t>
        </is>
      </c>
      <c r="D3" s="71" t="inlineStr">
        <is>
          <t>wizual gotowy w units.ts</t>
        </is>
      </c>
      <c r="E3" s="71" t="inlineStr">
        <is>
          <t>scalic do kanonu (rebuild)</t>
        </is>
      </c>
      <c r="F3" s="71" t="inlineStr">
        <is>
          <t>Civ-UNITS</t>
        </is>
      </c>
      <c r="G3" s="71" t="inlineStr">
        <is>
          <t>Render</t>
        </is>
      </c>
      <c r="H3" s="71" t="inlineStr">
        <is>
          <t>Wysoki</t>
        </is>
      </c>
    </row>
    <row r="4" ht="15" customHeight="1" s="48">
      <c r="A4" s="70" t="inlineStr">
        <is>
          <t>A. Jednostki i walka</t>
        </is>
      </c>
      <c r="B4" s="71" t="inlineStr">
        <is>
          <t>Roznicowanie jednostek na MAPIE (typeId)</t>
        </is>
      </c>
      <c r="C4" s="73" t="inlineStr">
        <is>
          <t>Niezrobione</t>
        </is>
      </c>
      <c r="D4" s="71" t="inlineStr">
        <is>
          <t>-</t>
        </is>
      </c>
      <c r="E4" s="71" t="inlineStr">
        <is>
          <t>1 linia w UnitRenderer.sync</t>
        </is>
      </c>
      <c r="F4" s="71" t="inlineStr">
        <is>
          <t>Civ-UNITS</t>
        </is>
      </c>
      <c r="G4" s="71" t="inlineStr">
        <is>
          <t>Render</t>
        </is>
      </c>
      <c r="H4" s="71" t="inlineStr">
        <is>
          <t>Sredni</t>
        </is>
      </c>
    </row>
    <row r="5" ht="15" customHeight="1" s="48">
      <c r="A5" s="70" t="inlineStr">
        <is>
          <t>A. Jednostki i walka</t>
        </is>
      </c>
      <c r="B5" s="71" t="inlineStr">
        <is>
          <t>Balans jednostek + kanon walki par.5l</t>
        </is>
      </c>
      <c r="C5" s="72" t="inlineStr">
        <is>
          <t>Zrobione</t>
        </is>
      </c>
      <c r="D5" s="71" t="inlineStr">
        <is>
          <t>macierz/countery/flanka-tyl/super</t>
        </is>
      </c>
      <c r="E5" s="71" t="inlineStr">
        <is>
          <t>playtest finalny</t>
        </is>
      </c>
      <c r="F5" s="71" t="inlineStr">
        <is>
          <t>Civ-UNITS</t>
        </is>
      </c>
      <c r="G5" s="71" t="inlineStr">
        <is>
          <t>M0</t>
        </is>
      </c>
      <c r="H5" s="71" t="inlineStr">
        <is>
          <t>Sredni</t>
        </is>
      </c>
    </row>
    <row r="6" ht="15" customHeight="1" s="48">
      <c r="A6" s="70" t="inlineStr">
        <is>
          <t>A. Jednostki i walka</t>
        </is>
      </c>
      <c r="B6" s="71" t="inlineStr">
        <is>
          <t>Resolver walki par.5l (combat.ts)</t>
        </is>
      </c>
      <c r="C6" s="72" t="inlineStr">
        <is>
          <t>Zrobione</t>
        </is>
      </c>
      <c r="D6" s="71" t="inlineStr">
        <is>
          <t>wpiety w gre</t>
        </is>
      </c>
      <c r="E6" s="71" t="inlineStr">
        <is>
          <t>-</t>
        </is>
      </c>
      <c r="F6" s="71" t="inlineStr">
        <is>
          <t>Civ-UNITS</t>
        </is>
      </c>
      <c r="G6" s="71" t="inlineStr">
        <is>
          <t>M3</t>
        </is>
      </c>
      <c r="H6" s="71" t="inlineStr">
        <is>
          <t>-</t>
        </is>
      </c>
    </row>
    <row r="7" ht="15" customHeight="1" s="48">
      <c r="A7" s="70" t="inlineStr">
        <is>
          <t>A. Jednostki i walka</t>
        </is>
      </c>
      <c r="B7" s="71" t="inlineStr">
        <is>
          <t>Bitwa taktyczna 3D + tura-po-turze</t>
        </is>
      </c>
      <c r="C7" s="72" t="inlineStr">
        <is>
          <t>Zrobione</t>
        </is>
      </c>
      <c r="D7" s="71" t="inlineStr">
        <is>
          <t>1 akcja/jedn., cios-za-cios</t>
        </is>
      </c>
      <c r="E7" s="71" t="inlineStr">
        <is>
          <t>scalic do kanonu</t>
        </is>
      </c>
      <c r="F7" s="71" t="inlineStr">
        <is>
          <t>Civ-UNITS</t>
        </is>
      </c>
      <c r="G7" s="71" t="inlineStr">
        <is>
          <t>M3</t>
        </is>
      </c>
      <c r="H7" s="71" t="inlineStr">
        <is>
          <t>Wysoki</t>
        </is>
      </c>
    </row>
    <row r="8" ht="15" customHeight="1" s="48">
      <c r="A8" s="70" t="inlineStr">
        <is>
          <t>A. Jednostki i walka</t>
        </is>
      </c>
      <c r="B8" s="71" t="inlineStr">
        <is>
          <t>Facing front/flanka/tyl</t>
        </is>
      </c>
      <c r="C8" s="72" t="inlineStr">
        <is>
          <t>Zrobione</t>
        </is>
      </c>
      <c r="D8" s="71" t="inlineStr">
        <is>
          <t>B7 kwadraty + obrot do celu</t>
        </is>
      </c>
      <c r="E8" s="71" t="inlineStr">
        <is>
          <t>-</t>
        </is>
      </c>
      <c r="F8" s="71" t="inlineStr">
        <is>
          <t>Civ-UNITS</t>
        </is>
      </c>
      <c r="G8" s="71" t="inlineStr">
        <is>
          <t>M3</t>
        </is>
      </c>
      <c r="H8" s="71" t="inlineStr">
        <is>
          <t>-</t>
        </is>
      </c>
    </row>
    <row r="9" ht="15" customHeight="1" s="48">
      <c r="A9" s="70" t="inlineStr">
        <is>
          <t>A. Jednostki i walka</t>
        </is>
      </c>
      <c r="B9" s="71" t="inlineStr">
        <is>
          <t>Pole bitwy kwadratowe (B7)</t>
        </is>
      </c>
      <c r="C9" s="72" t="inlineStr">
        <is>
          <t>Zrobione</t>
        </is>
      </c>
      <c r="D9" s="71" t="inlineStr">
        <is>
          <t>Gra-podglad-BITWA.html</t>
        </is>
      </c>
      <c r="E9" s="71" t="inlineStr">
        <is>
          <t>ocena + scalenie do kanonu</t>
        </is>
      </c>
      <c r="F9" s="71" t="inlineStr">
        <is>
          <t>Civ-UNITS</t>
        </is>
      </c>
      <c r="G9" s="71" t="inlineStr">
        <is>
          <t>M3</t>
        </is>
      </c>
      <c r="H9" s="71" t="inlineStr">
        <is>
          <t>Wysoki</t>
        </is>
      </c>
    </row>
    <row r="10" ht="15" customHeight="1" s="48">
      <c r="A10" s="70" t="inlineStr">
        <is>
          <t>A. Jednostki i walka</t>
        </is>
      </c>
      <c r="B10" s="71" t="inlineStr">
        <is>
          <t>Amunicja (2 pila-&gt;miecz) + pilum (B6)</t>
        </is>
      </c>
      <c r="C10" s="72" t="inlineStr">
        <is>
          <t>Zrobione</t>
        </is>
      </c>
      <c r="D10" s="71" t="inlineStr">
        <is>
          <t>w kanonie</t>
        </is>
      </c>
      <c r="E10" s="71" t="inlineStr">
        <is>
          <t>-</t>
        </is>
      </c>
      <c r="F10" s="71" t="inlineStr">
        <is>
          <t>Civ-UNITS</t>
        </is>
      </c>
      <c r="G10" s="71" t="inlineStr">
        <is>
          <t>M3</t>
        </is>
      </c>
      <c r="H10" s="71" t="inlineStr">
        <is>
          <t>-</t>
        </is>
      </c>
    </row>
    <row r="11" ht="15" customHeight="1" s="48">
      <c r="A11" s="70" t="inlineStr">
        <is>
          <t>A. Jednostki i walka</t>
        </is>
      </c>
      <c r="B11" s="71" t="inlineStr">
        <is>
          <t>Dopieszczenie bitwy wizualnie</t>
        </is>
      </c>
      <c r="C11" s="74" t="inlineStr">
        <is>
          <t>Czesciowo</t>
        </is>
      </c>
      <c r="D11" s="71" t="inlineStr">
        <is>
          <t>B7 + pilum</t>
        </is>
      </c>
      <c r="E11" s="71" t="inlineStr">
        <is>
          <t>dalsze poprawki</t>
        </is>
      </c>
      <c r="F11" s="71" t="inlineStr">
        <is>
          <t>Civ-UNITS</t>
        </is>
      </c>
      <c r="G11" s="71" t="inlineStr">
        <is>
          <t>Render</t>
        </is>
      </c>
      <c r="H11" s="71" t="inlineStr">
        <is>
          <t>Niski</t>
        </is>
      </c>
    </row>
    <row r="12" ht="15" customHeight="1" s="48">
      <c r="A12" s="70" t="inlineStr">
        <is>
          <t>A. Jednostki i walka</t>
        </is>
      </c>
      <c r="B12" s="71" t="inlineStr">
        <is>
          <t>Reczne sterowanie bitwa (manualBattle.ts)</t>
        </is>
      </c>
      <c r="C12" s="75" t="inlineStr">
        <is>
          <t>Gotowe, niewpiete</t>
        </is>
      </c>
      <c r="D12" s="71" t="inlineStr">
        <is>
          <t>modul 1398l</t>
        </is>
      </c>
      <c r="E12" s="71" t="inlineStr">
        <is>
          <t>wpiac przycisk</t>
        </is>
      </c>
      <c r="F12" s="71" t="inlineStr">
        <is>
          <t>Civ-SILNIK</t>
        </is>
      </c>
      <c r="G12" s="71" t="inlineStr">
        <is>
          <t>M3</t>
        </is>
      </c>
      <c r="H12" s="71" t="inlineStr">
        <is>
          <t>Sredni</t>
        </is>
      </c>
    </row>
    <row r="13" ht="15" customHeight="1" s="48">
      <c r="A13" s="70" t="inlineStr">
        <is>
          <t>A. Jednostki i walka</t>
        </is>
      </c>
      <c r="B13" s="71" t="inlineStr">
        <is>
          <t>Walka z mapy (atak-&gt;przedbitwa-&gt;wynik)</t>
        </is>
      </c>
      <c r="C13" s="73" t="inlineStr">
        <is>
          <t>Niezrobione</t>
        </is>
      </c>
      <c r="D13" s="71" t="inlineStr">
        <is>
          <t>-</t>
        </is>
      </c>
      <c r="E13" s="71" t="inlineStr">
        <is>
          <t>wpiecie B1</t>
        </is>
      </c>
      <c r="F13" s="71" t="inlineStr">
        <is>
          <t>Civ-SILNIK</t>
        </is>
      </c>
      <c r="G13" s="71" t="inlineStr">
        <is>
          <t>M3</t>
        </is>
      </c>
      <c r="H13" s="71" t="inlineStr">
        <is>
          <t>Wysoki</t>
        </is>
      </c>
    </row>
    <row r="14" ht="23.25" customHeight="1" s="48">
      <c r="A14" s="76" t="inlineStr">
        <is>
          <t>B. Mapa i teren</t>
        </is>
      </c>
      <c r="B14" s="71" t="inlineStr">
        <is>
          <t>Generator mapy heks + render 3D + kamera</t>
        </is>
      </c>
      <c r="C14" s="72" t="inlineStr">
        <is>
          <t>Zrobione</t>
        </is>
      </c>
      <c r="D14" s="71" t="inlineStr">
        <is>
          <t>gen-helpers: kontynenty/biomy/zloza/rzeki/starty</t>
        </is>
      </c>
      <c r="E14" s="71" t="inlineStr">
        <is>
          <t>-</t>
        </is>
      </c>
      <c r="F14" s="71" t="inlineStr">
        <is>
          <t>Civ-MAPA</t>
        </is>
      </c>
      <c r="G14" s="71" t="inlineStr">
        <is>
          <t>M1</t>
        </is>
      </c>
      <c r="H14" s="71" t="inlineStr">
        <is>
          <t>-</t>
        </is>
      </c>
    </row>
    <row r="15" ht="15" customHeight="1" s="48">
      <c r="A15" s="76" t="inlineStr">
        <is>
          <t>B. Mapa i teren</t>
        </is>
      </c>
      <c r="B15" s="71" t="inlineStr">
        <is>
          <t>Ruch + zasieg + trasa + koszty terenu</t>
        </is>
      </c>
      <c r="C15" s="72" t="inlineStr">
        <is>
          <t>Zrobione</t>
        </is>
      </c>
      <c r="D15" s="71" t="inlineStr">
        <is>
          <t>BFS/Dijkstra, koszty per teren, rzeka</t>
        </is>
      </c>
      <c r="E15" s="71" t="inlineStr">
        <is>
          <t>-</t>
        </is>
      </c>
      <c r="F15" s="71" t="inlineStr">
        <is>
          <t>Civ-MAPA</t>
        </is>
      </c>
      <c r="G15" s="71" t="inlineStr">
        <is>
          <t>M1</t>
        </is>
      </c>
      <c r="H15" s="71" t="inlineStr">
        <is>
          <t>-</t>
        </is>
      </c>
    </row>
    <row r="16" ht="15" customHeight="1" s="48">
      <c r="A16" s="76" t="inlineStr">
        <is>
          <t>B. Mapa i teren</t>
        </is>
      </c>
      <c r="B16" s="71" t="inlineStr">
        <is>
          <t>Mgla wojny (F)</t>
        </is>
      </c>
      <c r="C16" s="72" t="inlineStr">
        <is>
          <t>Zrobione</t>
        </is>
      </c>
      <c r="D16" s="71" t="inlineStr">
        <is>
          <t>visibility + setFog + chowanie wrogow</t>
        </is>
      </c>
      <c r="E16" s="71" t="inlineStr">
        <is>
          <t>-</t>
        </is>
      </c>
      <c r="F16" s="71" t="inlineStr">
        <is>
          <t>Civ-MAPA</t>
        </is>
      </c>
      <c r="G16" s="71" t="inlineStr">
        <is>
          <t>M1</t>
        </is>
      </c>
      <c r="H16" s="71" t="inlineStr">
        <is>
          <t>-</t>
        </is>
      </c>
    </row>
    <row r="17" ht="15" customHeight="1" s="48">
      <c r="A17" s="76" t="inlineStr">
        <is>
          <t>B. Mapa i teren</t>
        </is>
      </c>
      <c r="B17" s="71" t="inlineStr">
        <is>
          <t>Mapa ku Civ VI (rzeki na krawedziach/biomy/ramka)</t>
        </is>
      </c>
      <c r="C17" s="74" t="inlineStr">
        <is>
          <t>Czesciowo</t>
        </is>
      </c>
      <c r="D17" s="71" t="inlineStr">
        <is>
          <t>F1 w toku</t>
        </is>
      </c>
      <c r="E17" s="71" t="inlineStr">
        <is>
          <t>dokonczyc</t>
        </is>
      </c>
      <c r="F17" s="71" t="inlineStr">
        <is>
          <t>Civ-MAPA</t>
        </is>
      </c>
      <c r="G17" s="71" t="inlineStr">
        <is>
          <t>Render</t>
        </is>
      </c>
      <c r="H17" s="71" t="inlineStr">
        <is>
          <t>Sredni</t>
        </is>
      </c>
    </row>
    <row r="18" ht="15" customHeight="1" s="48">
      <c r="A18" s="77" t="inlineStr">
        <is>
          <t>C. Miasta, ekonomia, produkcja</t>
        </is>
      </c>
      <c r="B18" s="71" t="inlineStr">
        <is>
          <t>Zakladanie miast (B) + panel podstawowy</t>
        </is>
      </c>
      <c r="C18" s="72" t="inlineStr">
        <is>
          <t>Zrobione</t>
        </is>
      </c>
      <c r="D18" s="71" t="inlineStr">
        <is>
          <t>cities + render + panel klik</t>
        </is>
      </c>
      <c r="E18" s="71" t="inlineStr">
        <is>
          <t>rozbudowa panelu</t>
        </is>
      </c>
      <c r="F18" s="71" t="inlineStr">
        <is>
          <t>Civ-MIASTO</t>
        </is>
      </c>
      <c r="G18" s="71" t="inlineStr">
        <is>
          <t>M1</t>
        </is>
      </c>
      <c r="H18" s="71" t="inlineStr">
        <is>
          <t>Sredni</t>
        </is>
      </c>
    </row>
    <row r="19" ht="15" customHeight="1" s="48">
      <c r="A19" s="77" t="inlineStr">
        <is>
          <t>C. Miasta, ekonomia, produkcja</t>
        </is>
      </c>
      <c r="B19" s="71" t="inlineStr">
        <is>
          <t>Ekonomia miasta (plony/wzrost/zywnosc)</t>
        </is>
      </c>
      <c r="C19" s="72" t="inlineStr">
        <is>
          <t>Zrobione</t>
        </is>
      </c>
      <c r="D19" s="71" t="inlineStr">
        <is>
          <t>turn-economy wpiete w ture</t>
        </is>
      </c>
      <c r="E19" s="71" t="inlineStr">
        <is>
          <t>-</t>
        </is>
      </c>
      <c r="F19" s="71" t="inlineStr">
        <is>
          <t>Civ-EKONOMIA</t>
        </is>
      </c>
      <c r="G19" s="71" t="inlineStr">
        <is>
          <t>M2</t>
        </is>
      </c>
      <c r="H19" s="71" t="inlineStr">
        <is>
          <t>-</t>
        </is>
      </c>
    </row>
    <row r="20" ht="15" customHeight="1" s="48">
      <c r="A20" s="77" t="inlineStr">
        <is>
          <t>C. Miasta, ekonomia, produkcja</t>
        </is>
      </c>
      <c r="B20" s="71" t="inlineStr">
        <is>
          <t>Skarbiec + nauka + auto-badania + epoka</t>
        </is>
      </c>
      <c r="C20" s="72" t="inlineStr">
        <is>
          <t>Zrobione</t>
        </is>
      </c>
      <c r="D20" s="71" t="inlineStr">
        <is>
          <t>playerState + HUD, wpiete</t>
        </is>
      </c>
      <c r="E20" s="71" t="inlineStr">
        <is>
          <t>-</t>
        </is>
      </c>
      <c r="F20" s="71" t="inlineStr">
        <is>
          <t>Civ-EKONOMIA</t>
        </is>
      </c>
      <c r="G20" s="71" t="inlineStr">
        <is>
          <t>M2</t>
        </is>
      </c>
      <c r="H20" s="71" t="inlineStr">
        <is>
          <t>-</t>
        </is>
      </c>
    </row>
    <row r="21" ht="15" customHeight="1" s="48">
      <c r="A21" s="77" t="inlineStr">
        <is>
          <t>C. Miasta, ekonomia, produkcja</t>
        </is>
      </c>
      <c r="B21" s="71" t="inlineStr">
        <is>
          <t>Kolejka produkcji (production.ts)</t>
        </is>
      </c>
      <c r="C21" s="75" t="inlineStr">
        <is>
          <t>Zrobione</t>
        </is>
      </c>
      <c r="D21" s="71" t="inlineStr">
        <is>
          <t>logika + testy</t>
        </is>
      </c>
      <c r="E21" s="71" t="inlineStr">
        <is>
          <t>wpiete do tury (master 24.06): produkcja w petli N</t>
        </is>
      </c>
      <c r="F21" s="71" t="inlineStr">
        <is>
          <t>Civ-MIASTO (+SILNIK wpiecie)</t>
        </is>
      </c>
      <c r="G21" s="71" t="inlineStr">
        <is>
          <t>M2</t>
        </is>
      </c>
      <c r="H21" s="71" t="inlineStr">
        <is>
          <t>Wysoki</t>
        </is>
      </c>
    </row>
    <row r="22" ht="15" customHeight="1" s="48">
      <c r="A22" s="77" t="inlineStr">
        <is>
          <t>C. Miasta, ekonomia, produkcja</t>
        </is>
      </c>
      <c r="B22" s="71" t="inlineStr">
        <is>
          <t>Budowa/ulepszanie budynkow</t>
        </is>
      </c>
      <c r="C22" s="73" t="inlineStr">
        <is>
          <t>Czesciowo</t>
        </is>
      </c>
      <c r="D22" s="71" t="inlineStr">
        <is>
          <t>-</t>
        </is>
      </c>
      <c r="E22" s="71" t="inlineStr">
        <is>
          <t>logika ukonczenia budynku wpieta (production); panel/UI dopiac</t>
        </is>
      </c>
      <c r="F22" s="71" t="inlineStr">
        <is>
          <t>Civ-MIASTO (+SILNIK)</t>
        </is>
      </c>
      <c r="G22" s="71" t="inlineStr">
        <is>
          <t>M2</t>
        </is>
      </c>
      <c r="H22" s="71" t="inlineStr">
        <is>
          <t>Wysoki</t>
        </is>
      </c>
    </row>
    <row r="23" ht="15" customHeight="1" s="48">
      <c r="A23" s="77" t="inlineStr">
        <is>
          <t>C. Miasta, ekonomia, produkcja</t>
        </is>
      </c>
      <c r="B23" s="71" t="inlineStr">
        <is>
          <t>Magazyny + utrzymanie (upkeep.ts)</t>
        </is>
      </c>
      <c r="C23" s="73" t="inlineStr">
        <is>
          <t>Niezrobione</t>
        </is>
      </c>
      <c r="D23" s="71" t="inlineStr">
        <is>
          <t>plik nie istnieje</t>
        </is>
      </c>
      <c r="E23" s="71" t="inlineStr">
        <is>
          <t>napisac modul + wpiac</t>
        </is>
      </c>
      <c r="F23" s="71" t="inlineStr">
        <is>
          <t>Civ-EKONOMIA (+SILNIK)</t>
        </is>
      </c>
      <c r="G23" s="71" t="inlineStr">
        <is>
          <t>M2</t>
        </is>
      </c>
      <c r="H23" s="71" t="inlineStr">
        <is>
          <t>Sredni</t>
        </is>
      </c>
    </row>
    <row r="24" ht="15" customHeight="1" s="48">
      <c r="A24" s="77" t="inlineStr">
        <is>
          <t>C. Miasta, ekonomia, produkcja</t>
        </is>
      </c>
      <c r="B24" s="71" t="inlineStr">
        <is>
          <t>Panel miasta: realne plony + kolejka + budynki</t>
        </is>
      </c>
      <c r="C24" s="74" t="inlineStr">
        <is>
          <t>Czesciowo</t>
        </is>
      </c>
      <c r="D24" s="71" t="inlineStr">
        <is>
          <t>panel podstawowy</t>
        </is>
      </c>
      <c r="E24" s="71" t="inlineStr">
        <is>
          <t>dodac produkcje/budowe/liczby</t>
        </is>
      </c>
      <c r="F24" s="71" t="inlineStr">
        <is>
          <t>Civ-UI/SILNIK</t>
        </is>
      </c>
      <c r="G24" s="71" t="inlineStr">
        <is>
          <t>M2</t>
        </is>
      </c>
      <c r="H24" s="71" t="inlineStr">
        <is>
          <t>Wysoki</t>
        </is>
      </c>
    </row>
    <row r="25" ht="15" customHeight="1" s="48">
      <c r="A25" s="77" t="inlineStr">
        <is>
          <t>C. Miasta, ekonomia, produkcja</t>
        </is>
      </c>
      <c r="B25" s="71" t="inlineStr">
        <is>
          <t>Licznik bilansu zasobow co ture</t>
        </is>
      </c>
      <c r="C25" s="73" t="inlineStr">
        <is>
          <t>Niezrobione</t>
        </is>
      </c>
      <c r="D25" s="71" t="inlineStr">
        <is>
          <t>-</t>
        </is>
      </c>
      <c r="E25" s="71" t="inlineStr">
        <is>
          <t>panel Bilans</t>
        </is>
      </c>
      <c r="F25" s="71" t="inlineStr">
        <is>
          <t>Civ-UI</t>
        </is>
      </c>
      <c r="G25" s="71" t="inlineStr">
        <is>
          <t>M2</t>
        </is>
      </c>
      <c r="H25" s="71" t="inlineStr">
        <is>
          <t>Niski</t>
        </is>
      </c>
    </row>
    <row r="26" ht="15" customHeight="1" s="48">
      <c r="A26" s="78" t="inlineStr">
        <is>
          <t>D. AI, przeciwnicy, rozgrywka</t>
        </is>
      </c>
      <c r="B26" s="71" t="inlineStr">
        <is>
          <t>AI decyzje (ai.ts)</t>
        </is>
      </c>
      <c r="C26" s="75" t="inlineStr">
        <is>
          <t>Gotowe, niewpiete</t>
        </is>
      </c>
      <c r="D26" s="71" t="inlineStr">
        <is>
          <t>ruch/zakladanie/atak/budowa</t>
        </is>
      </c>
      <c r="E26" s="71" t="inlineStr">
        <is>
          <t>wpiac w petle tury</t>
        </is>
      </c>
      <c r="F26" s="71" t="inlineStr">
        <is>
          <t>Civ-AI (+SILNIK)</t>
        </is>
      </c>
      <c r="G26" s="71" t="inlineStr">
        <is>
          <t>M4</t>
        </is>
      </c>
      <c r="H26" s="71" t="inlineStr">
        <is>
          <t>Wysoki</t>
        </is>
      </c>
    </row>
    <row r="27" ht="15" customHeight="1" s="48">
      <c r="A27" s="78" t="inlineStr">
        <is>
          <t>D. AI, przeciwnicy, rozgrywka</t>
        </is>
      </c>
      <c r="B27" s="71" t="inlineStr">
        <is>
          <t>Warunki zwyciestwa (victory.ts)</t>
        </is>
      </c>
      <c r="C27" s="75" t="inlineStr">
        <is>
          <t>Gotowe, niewpiete</t>
        </is>
      </c>
      <c r="D27" s="71" t="inlineStr">
        <is>
          <t>dominacja typu + nauka</t>
        </is>
      </c>
      <c r="E27" s="71" t="inlineStr">
        <is>
          <t>wpiac + ekran konca</t>
        </is>
      </c>
      <c r="F27" s="71" t="inlineStr">
        <is>
          <t>Civ-AI (+SILNIK)</t>
        </is>
      </c>
      <c r="G27" s="71" t="inlineStr">
        <is>
          <t>M4</t>
        </is>
      </c>
      <c r="H27" s="71" t="inlineStr">
        <is>
          <t>Wysoki</t>
        </is>
      </c>
    </row>
    <row r="28" ht="15" customHeight="1" s="48">
      <c r="A28" s="78" t="inlineStr">
        <is>
          <t>D. AI, przeciwnicy, rozgrywka</t>
        </is>
      </c>
      <c r="B28" s="71" t="inlineStr">
        <is>
          <t>Barbarzyncy (barbarians.ts)</t>
        </is>
      </c>
      <c r="C28" s="73" t="inlineStr">
        <is>
          <t>Niezrobione</t>
        </is>
      </c>
      <c r="D28" s="71" t="inlineStr">
        <is>
          <t>plik nie istnieje</t>
        </is>
      </c>
      <c r="E28" s="71" t="inlineStr">
        <is>
          <t>napisac + wpiac</t>
        </is>
      </c>
      <c r="F28" s="71" t="inlineStr">
        <is>
          <t>Civ-AI</t>
        </is>
      </c>
      <c r="G28" s="71" t="inlineStr">
        <is>
          <t>M4</t>
        </is>
      </c>
      <c r="H28" s="71" t="inlineStr">
        <is>
          <t>Sredni</t>
        </is>
      </c>
    </row>
    <row r="29" ht="15" customHeight="1" s="48">
      <c r="A29" s="78" t="inlineStr">
        <is>
          <t>D. AI, przeciwnicy, rozgrywka</t>
        </is>
      </c>
      <c r="B29" s="71" t="inlineStr">
        <is>
          <t>Oblezenia miast (siege.ts)</t>
        </is>
      </c>
      <c r="C29" s="75" t="inlineStr">
        <is>
          <t>Gotowe, niewpiete</t>
        </is>
      </c>
      <c r="D29" s="71" t="inlineStr">
        <is>
          <t>mury/zdobycie/milicja + testy</t>
        </is>
      </c>
      <c r="E29" s="71" t="inlineStr">
        <is>
          <t>wpiac</t>
        </is>
      </c>
      <c r="F29" s="71" t="inlineStr">
        <is>
          <t>Civ-SILNIK</t>
        </is>
      </c>
      <c r="G29" s="71" t="inlineStr">
        <is>
          <t>M3</t>
        </is>
      </c>
      <c r="H29" s="71" t="inlineStr">
        <is>
          <t>Sredni</t>
        </is>
      </c>
    </row>
    <row r="30" ht="23.25" customHeight="1" s="48">
      <c r="A30" s="78" t="inlineStr">
        <is>
          <t>D. AI, przeciwnicy, rozgrywka</t>
        </is>
      </c>
      <c r="B30" s="71" t="inlineStr">
        <is>
          <t>Spawn klastrow na mapie (typ x10 miast: 1 glowna + 9 satelitow)</t>
        </is>
      </c>
      <c r="C30" s="73" t="inlineStr">
        <is>
          <t>Niezrobione</t>
        </is>
      </c>
      <c r="D30" s="71" t="inlineStr">
        <is>
          <t>-</t>
        </is>
      </c>
      <c r="E30" s="71" t="inlineStr">
        <is>
          <t>generator: N typow x10 (&gt;=9 pol)</t>
        </is>
      </c>
      <c r="F30" s="71" t="inlineStr">
        <is>
          <t>Civ-MAPA/SILNIK</t>
        </is>
      </c>
      <c r="G30" s="71" t="inlineStr">
        <is>
          <t>M1/M4</t>
        </is>
      </c>
      <c r="H30" s="71" t="inlineStr">
        <is>
          <t>Sredni</t>
        </is>
      </c>
    </row>
    <row r="31" ht="21.75" customHeight="1" s="48">
      <c r="A31" s="79" t="inlineStr">
        <is>
          <t>E. Cywilizacje, dyplomacja, spoleczenstwo</t>
        </is>
      </c>
      <c r="B31" s="71" t="inlineStr">
        <is>
          <t>Roster cywilizacji: TYPY (7 -&gt; 9: +Celtowie/Germanie)</t>
        </is>
      </c>
      <c r="C31" s="74" t="inlineStr">
        <is>
          <t>Zrobione</t>
        </is>
      </c>
      <c r="D31" s="71" t="inlineStr">
        <is>
          <t>9 typów (incl. Celtowie+Germanie) + religie; bonusy konkretne; Inkowie=Chaska+Królewska Gwardia (8C); spec jednostek -&gt; Civ-UNITS</t>
        </is>
      </c>
      <c r="E31" s="71" t="inlineStr">
        <is>
          <t>—</t>
        </is>
      </c>
      <c r="F31" s="71" t="inlineStr">
        <is>
          <t>Civ-DANE</t>
        </is>
      </c>
      <c r="G31" s="71" t="inlineStr">
        <is>
          <t>M5</t>
        </is>
      </c>
      <c r="H31" s="71" t="inlineStr">
        <is>
          <t>Sredni</t>
        </is>
      </c>
    </row>
    <row r="32" ht="21.75" customHeight="1" s="48">
      <c r="A32" s="79" t="inlineStr">
        <is>
          <t>E. Cywilizacje, dyplomacja, spoleczenstwo</t>
        </is>
      </c>
      <c r="B32" s="71" t="inlineStr">
        <is>
          <t>Dyplomacja (diplomacy.ts) + panel</t>
        </is>
      </c>
      <c r="C32" s="75" t="inlineStr">
        <is>
          <t>Gotowe, niewpiete</t>
        </is>
      </c>
      <c r="D32" s="71" t="inlineStr">
        <is>
          <t>Relacja=Zaufanie+Respekt</t>
        </is>
      </c>
      <c r="E32" s="71" t="inlineStr">
        <is>
          <t>wpiac + panel</t>
        </is>
      </c>
      <c r="F32" s="71" t="inlineStr">
        <is>
          <t>Civ-DYPLOMACJA (+SILNIK)</t>
        </is>
      </c>
      <c r="G32" s="71" t="inlineStr">
        <is>
          <t>M5</t>
        </is>
      </c>
      <c r="H32" s="71" t="inlineStr">
        <is>
          <t>Sredni</t>
        </is>
      </c>
    </row>
    <row r="33" ht="21.75" customHeight="1" s="48">
      <c r="A33" s="79" t="inlineStr">
        <is>
          <t>E. Cywilizacje, dyplomacja, spoleczenstwo</t>
        </is>
      </c>
      <c r="B33" s="71" t="inlineStr">
        <is>
          <t>Kultura/religia w turze (culture-religion.ts)</t>
        </is>
      </c>
      <c r="C33" s="75" t="inlineStr">
        <is>
          <t>Zrobione</t>
        </is>
      </c>
      <c r="D33" s="71" t="inlineStr">
        <is>
          <t>granice/zadowolenie/konwersja</t>
        </is>
      </c>
      <c r="E33" s="71" t="inlineStr">
        <is>
          <t>kultura+religia wpiete do tury 24.06 (spread religii=etap2)</t>
        </is>
      </c>
      <c r="F33" s="71" t="inlineStr">
        <is>
          <t>Civ-MIASTO (+SILNIK)</t>
        </is>
      </c>
      <c r="G33" s="71" t="inlineStr">
        <is>
          <t>M5</t>
        </is>
      </c>
      <c r="H33" s="71" t="inlineStr">
        <is>
          <t>Sredni</t>
        </is>
      </c>
    </row>
    <row r="34" ht="21.75" customHeight="1" s="48">
      <c r="A34" s="79" t="inlineStr">
        <is>
          <t>E. Cywilizacje, dyplomacja, spoleczenstwo</t>
        </is>
      </c>
      <c r="B34" s="71" t="inlineStr">
        <is>
          <t>Porzadek = Szczescie + Prawo (order.ts)</t>
        </is>
      </c>
      <c r="C34" s="75" t="inlineStr">
        <is>
          <t>Zrobione</t>
        </is>
      </c>
      <c r="D34" s="71" t="inlineStr">
        <is>
          <t>progi T1/T2 (1 test pada)</t>
        </is>
      </c>
      <c r="E34" s="71" t="inlineStr">
        <is>
          <t>porzadek wpiety do tury 24.06 (productionMult/revolt)</t>
        </is>
      </c>
      <c r="F34" s="71" t="inlineStr">
        <is>
          <t>Civ-MIASTO (+SILNIK)</t>
        </is>
      </c>
      <c r="G34" s="71" t="inlineStr">
        <is>
          <t>M5</t>
        </is>
      </c>
      <c r="H34" s="71" t="inlineStr">
        <is>
          <t>Sredni</t>
        </is>
      </c>
    </row>
    <row r="35" ht="21.75" customHeight="1" s="48">
      <c r="A35" s="79" t="inlineStr">
        <is>
          <t>E. Cywilizacje, dyplomacja, spoleczenstwo</t>
        </is>
      </c>
      <c r="B35" s="71" t="inlineStr">
        <is>
          <t>Zadowolenie w panelu miasta (bunt)</t>
        </is>
      </c>
      <c r="C35" s="73" t="inlineStr">
        <is>
          <t>Niezrobione</t>
        </is>
      </c>
      <c r="D35" s="71" t="inlineStr">
        <is>
          <t>-</t>
        </is>
      </c>
      <c r="E35" s="71" t="inlineStr">
        <is>
          <t>progi + bunt w panelu</t>
        </is>
      </c>
      <c r="F35" s="71" t="inlineStr">
        <is>
          <t>Civ-MIASTO / Civ-UI</t>
        </is>
      </c>
      <c r="G35" s="71" t="inlineStr">
        <is>
          <t>M5</t>
        </is>
      </c>
      <c r="H35" s="71" t="inlineStr">
        <is>
          <t>Sredni</t>
        </is>
      </c>
    </row>
    <row r="36" ht="15" customHeight="1" s="48">
      <c r="A36" s="80" t="inlineStr">
        <is>
          <t>F. Interfejs (UI/HUD/menu)</t>
        </is>
      </c>
      <c r="B36" s="71" t="inlineStr">
        <is>
          <t>HUD podstawowy</t>
        </is>
      </c>
      <c r="C36" s="72" t="inlineStr">
        <is>
          <t>Zrobione</t>
        </is>
      </c>
      <c r="D36" s="71" t="inlineStr">
        <is>
          <t>tura/jednostka/miasta</t>
        </is>
      </c>
      <c r="E36" s="71" t="inlineStr">
        <is>
          <t>-</t>
        </is>
      </c>
      <c r="F36" s="71" t="inlineStr">
        <is>
          <t>Civ-UI</t>
        </is>
      </c>
      <c r="G36" s="71" t="inlineStr">
        <is>
          <t>M1</t>
        </is>
      </c>
      <c r="H36" s="71" t="inlineStr">
        <is>
          <t>-</t>
        </is>
      </c>
    </row>
    <row r="37" ht="15" customHeight="1" s="48">
      <c r="A37" s="80" t="inlineStr">
        <is>
          <t>F. Interfejs (UI/HUD/menu)</t>
        </is>
      </c>
      <c r="B37" s="71" t="inlineStr">
        <is>
          <t>HUD w grze (zasoby/minimapa/panele 1-12)</t>
        </is>
      </c>
      <c r="C37" s="73" t="inlineStr">
        <is>
          <t>Niezrobione</t>
        </is>
      </c>
      <c r="D37" s="71" t="inlineStr">
        <is>
          <t>makieta gotowa</t>
        </is>
      </c>
      <c r="E37" s="71" t="inlineStr">
        <is>
          <t>wpiac</t>
        </is>
      </c>
      <c r="F37" s="71" t="inlineStr">
        <is>
          <t>Civ-UI</t>
        </is>
      </c>
      <c r="G37" s="71" t="inlineStr">
        <is>
          <t>M6</t>
        </is>
      </c>
      <c r="H37" s="71" t="inlineStr">
        <is>
          <t>Sredni</t>
        </is>
      </c>
    </row>
    <row r="38" ht="15" customHeight="1" s="48">
      <c r="A38" s="80" t="inlineStr">
        <is>
          <t>F. Interfejs (UI/HUD/menu)</t>
        </is>
      </c>
      <c r="B38" s="71" t="inlineStr">
        <is>
          <t>Menu glowne + ustawienia</t>
        </is>
      </c>
      <c r="C38" s="73" t="inlineStr">
        <is>
          <t>Niezrobione</t>
        </is>
      </c>
      <c r="D38" s="71" t="inlineStr">
        <is>
          <t>makieta gotowa</t>
        </is>
      </c>
      <c r="E38" s="71" t="inlineStr">
        <is>
          <t>wpiac</t>
        </is>
      </c>
      <c r="F38" s="71" t="inlineStr">
        <is>
          <t>Civ-UI</t>
        </is>
      </c>
      <c r="G38" s="71" t="inlineStr">
        <is>
          <t>M6</t>
        </is>
      </c>
      <c r="H38" s="71" t="inlineStr">
        <is>
          <t>Sredni</t>
        </is>
      </c>
    </row>
    <row r="39" ht="15" customHeight="1" s="48">
      <c r="A39" s="81" t="inlineStr">
        <is>
          <t>G. Zapis, meta, nowa gra</t>
        </is>
      </c>
      <c r="B39" s="71" t="inlineStr">
        <is>
          <t>Save/Load (save.ts)</t>
        </is>
      </c>
      <c r="C39" s="75" t="inlineStr">
        <is>
          <t>Gotowe, niewpiete</t>
        </is>
      </c>
      <c r="D39" s="71" t="inlineStr">
        <is>
          <t>serializacja + sloty</t>
        </is>
      </c>
      <c r="E39" s="71" t="inlineStr">
        <is>
          <t>wpiac (zebrac stan)</t>
        </is>
      </c>
      <c r="F39" s="71" t="inlineStr">
        <is>
          <t>Civ-SILNIK</t>
        </is>
      </c>
      <c r="G39" s="71" t="inlineStr">
        <is>
          <t>M6</t>
        </is>
      </c>
      <c r="H39" s="71" t="inlineStr">
        <is>
          <t>Sredni</t>
        </is>
      </c>
    </row>
    <row r="40" ht="15" customHeight="1" s="48">
      <c r="A40" s="81" t="inlineStr">
        <is>
          <t>G. Zapis, meta, nowa gra</t>
        </is>
      </c>
      <c r="B40" s="71" t="inlineStr">
        <is>
          <t>Nowa gra (start -&gt; generacja -&gt; gra)</t>
        </is>
      </c>
      <c r="C40" s="73" t="inlineStr">
        <is>
          <t>Niezrobione</t>
        </is>
      </c>
      <c r="D40" s="71" t="inlineStr">
        <is>
          <t>makieta flow gotowa</t>
        </is>
      </c>
      <c r="E40" s="71" t="inlineStr">
        <is>
          <t>wpiac pelny flow</t>
        </is>
      </c>
      <c r="F40" s="71" t="inlineStr">
        <is>
          <t>Civ-SILNIK/UI</t>
        </is>
      </c>
      <c r="G40" s="71" t="inlineStr">
        <is>
          <t>M4</t>
        </is>
      </c>
      <c r="H40" s="71" t="inlineStr">
        <is>
          <t>Wysoki</t>
        </is>
      </c>
    </row>
    <row r="41" ht="15" customHeight="1" s="48">
      <c r="A41" s="76" t="inlineStr">
        <is>
          <t>H. Infrastruktura i koordynacja</t>
        </is>
      </c>
      <c r="B41" s="71" t="inlineStr">
        <is>
          <t>Pipeline danych Excel-&gt;JSON (loader)</t>
        </is>
      </c>
      <c r="C41" s="72" t="inlineStr">
        <is>
          <t>Zrobione</t>
        </is>
      </c>
      <c r="D41" s="71" t="inlineStr">
        <is>
          <t>13 JSON-ow z Exceli</t>
        </is>
      </c>
      <c r="E41" s="71" t="inlineStr">
        <is>
          <t>naprawic export-data.py (zaszyta sciezka)</t>
        </is>
      </c>
      <c r="F41" s="71" t="inlineStr">
        <is>
          <t>Civ-SILNIK</t>
        </is>
      </c>
      <c r="G41" s="71" t="inlineStr">
        <is>
          <t>M0</t>
        </is>
      </c>
      <c r="H41" s="71" t="inlineStr">
        <is>
          <t>Niski</t>
        </is>
      </c>
    </row>
    <row r="42" ht="15" customHeight="1" s="48">
      <c r="A42" s="76" t="inlineStr">
        <is>
          <t>H. Infrastruktura i koordynacja</t>
        </is>
      </c>
      <c r="B42" s="71" t="inlineStr">
        <is>
          <t>Schemat stanu gry (GameState/TS)</t>
        </is>
      </c>
      <c r="C42" s="72" t="inlineStr">
        <is>
          <t>Zrobione</t>
        </is>
      </c>
      <c r="D42" s="71" t="inlineStr">
        <is>
          <t>typy w src/types</t>
        </is>
      </c>
      <c r="E42" s="71" t="inlineStr">
        <is>
          <t>-</t>
        </is>
      </c>
      <c r="F42" s="71" t="inlineStr">
        <is>
          <t>Civ-SILNIK</t>
        </is>
      </c>
      <c r="G42" s="71" t="inlineStr">
        <is>
          <t>M0</t>
        </is>
      </c>
      <c r="H42" s="71" t="inlineStr">
        <is>
          <t>-</t>
        </is>
      </c>
    </row>
    <row r="43" ht="15" customHeight="1" s="48">
      <c r="A43" s="76" t="inlineStr">
        <is>
          <t>H. Infrastruktura i koordynacja</t>
        </is>
      </c>
      <c r="B43" s="71" t="inlineStr">
        <is>
          <t>Excele parametrow (8 arkuszy)</t>
        </is>
      </c>
      <c r="C43" s="72" t="inlineStr">
        <is>
          <t>Zrobione</t>
        </is>
      </c>
      <c r="D43" s="71" t="inlineStr">
        <is>
          <t>wszystkie + eksport</t>
        </is>
      </c>
      <c r="E43" s="71" t="inlineStr">
        <is>
          <t>aktualizacja przy nowych mechanikach</t>
        </is>
      </c>
      <c r="F43" s="71" t="inlineStr">
        <is>
          <t>Civ-DANE</t>
        </is>
      </c>
      <c r="G43" s="71" t="inlineStr">
        <is>
          <t>M0</t>
        </is>
      </c>
      <c r="H43" s="71" t="inlineStr">
        <is>
          <t>Niski</t>
        </is>
      </c>
    </row>
    <row r="44" ht="15" customHeight="1" s="48">
      <c r="A44" s="76" t="inlineStr">
        <is>
          <t>H. Infrastruktura i koordynacja</t>
        </is>
      </c>
      <c r="B44" s="71" t="inlineStr">
        <is>
          <t>Build single-file (file://) + smoke testy</t>
        </is>
      </c>
      <c r="C44" s="72" t="inlineStr">
        <is>
          <t>Zrobione</t>
        </is>
      </c>
      <c r="D44" s="71" t="inlineStr">
        <is>
          <t>IIFE + hydration-fix + 4 testy</t>
        </is>
      </c>
      <c r="E44" s="71" t="inlineStr">
        <is>
          <t>-</t>
        </is>
      </c>
      <c r="F44" s="71" t="inlineStr">
        <is>
          <t>Civ-SILNIK</t>
        </is>
      </c>
      <c r="G44" s="71" t="inlineStr">
        <is>
          <t>M1</t>
        </is>
      </c>
      <c r="H44" s="71" t="inlineStr">
        <is>
          <t>-</t>
        </is>
      </c>
    </row>
    <row r="45" ht="15" customHeight="1" s="48">
      <c r="A45" s="76" t="inlineStr">
        <is>
          <t>H. Infrastruktura i koordynacja</t>
        </is>
      </c>
      <c r="B45" s="71" t="inlineStr">
        <is>
          <t>System dyspozycji (mailboxy + kanal Q&amp;A)</t>
        </is>
      </c>
      <c r="C45" s="72" t="inlineStr">
        <is>
          <t>Zrobione</t>
        </is>
      </c>
      <c r="D45" s="71" t="inlineStr">
        <is>
          <t>dyspozycje/ + DYSPOZYCJE-SESJI.md</t>
        </is>
      </c>
      <c r="E45" s="71" t="inlineStr">
        <is>
          <t>utrzymanie</t>
        </is>
      </c>
      <c r="F45" s="71" t="inlineStr">
        <is>
          <t>Civ-MASTER</t>
        </is>
      </c>
      <c r="G45" s="71" t="inlineStr">
        <is>
          <t>Infra</t>
        </is>
      </c>
      <c r="H45" s="71" t="inlineStr">
        <is>
          <t>-</t>
        </is>
      </c>
    </row>
    <row r="46" ht="15" customHeight="1" s="48">
      <c r="A46" s="76" t="inlineStr">
        <is>
          <t>H. Infrastruktura i koordynacja</t>
        </is>
      </c>
      <c r="B46" s="71" t="inlineStr">
        <is>
          <t>Fix OneDrive dehydratacja (Always keep on device)</t>
        </is>
      </c>
      <c r="C46" s="74" t="inlineStr">
        <is>
          <t>Zrobione</t>
        </is>
      </c>
      <c r="D46" s="71" t="inlineStr">
        <is>
          <t>zdiagnozowane + procedura</t>
        </is>
      </c>
      <c r="E46" s="71" t="inlineStr">
        <is>
          <t>diplomacy.json zhydratowany; build 44-46 mod. przechodzi</t>
        </is>
      </c>
      <c r="F46" s="71" t="inlineStr">
        <is>
          <t>user</t>
        </is>
      </c>
      <c r="G46" s="71" t="inlineStr">
        <is>
          <t>Infra</t>
        </is>
      </c>
      <c r="H46" s="71" t="inlineStr">
        <is>
          <t>Wysoki</t>
        </is>
      </c>
    </row>
    <row r="47" ht="15" customHeight="1" s="48">
      <c r="A47" s="76" t="inlineStr">
        <is>
          <t>H. Infrastruktura i koordynacja</t>
        </is>
      </c>
      <c r="B47" s="71" t="inlineStr">
        <is>
          <t>Sprzatanie dist-*/stare podglady</t>
        </is>
      </c>
      <c r="C47" s="74" t="inlineStr">
        <is>
          <t>Czesciowo</t>
        </is>
      </c>
      <c r="D47" s="71" t="inlineStr">
        <is>
          <t>SPRZATANIE.ps1</t>
        </is>
      </c>
      <c r="E47" s="71" t="inlineStr">
        <is>
          <t>uruchomic lokalnie</t>
        </is>
      </c>
      <c r="F47" s="71" t="inlineStr">
        <is>
          <t>user</t>
        </is>
      </c>
      <c r="G47" s="71" t="inlineStr">
        <is>
          <t>Infra</t>
        </is>
      </c>
      <c r="H47" s="71" t="inlineStr">
        <is>
          <t>Niski</t>
        </is>
      </c>
    </row>
    <row r="48" ht="15" customHeight="1" s="48">
      <c r="A48" s="76" t="inlineStr">
        <is>
          <t>H. Infrastruktura i koordynacja</t>
        </is>
      </c>
      <c r="B48" s="71" t="inlineStr">
        <is>
          <t>Balans rozgrywki (playtest)</t>
        </is>
      </c>
      <c r="C48" s="73" t="inlineStr">
        <is>
          <t>Niezrobione</t>
        </is>
      </c>
      <c r="D48" s="71" t="inlineStr">
        <is>
          <t>-</t>
        </is>
      </c>
      <c r="E48" s="71" t="inlineStr">
        <is>
          <t>po wpieciach</t>
        </is>
      </c>
      <c r="F48" s="71" t="inlineStr">
        <is>
          <t>Civ-MASTER</t>
        </is>
      </c>
      <c r="G48" s="71" t="inlineStr">
        <is>
          <t>M6</t>
        </is>
      </c>
      <c r="H48" s="71" t="inlineStr">
        <is>
          <t>Niski</t>
        </is>
      </c>
    </row>
    <row r="49" ht="15" customHeight="1" s="48">
      <c r="A49" s="81" t="inlineStr">
        <is>
          <t>I. Przyszlosc (M7)</t>
        </is>
      </c>
      <c r="B49" s="71" t="inlineStr">
        <is>
          <t>Epoki 3-10, waluty, ustroje, cuda, RTS, backend</t>
        </is>
      </c>
      <c r="C49" s="73" t="inlineStr">
        <is>
          <t>Niezrobione</t>
        </is>
      </c>
      <c r="D49" s="71" t="inlineStr">
        <is>
          <t>-</t>
        </is>
      </c>
      <c r="E49" s="71" t="inlineStr">
        <is>
          <t>rozpisac pozniej (nowe taski)</t>
        </is>
      </c>
      <c r="F49" s="71" t="inlineStr">
        <is>
          <t>-</t>
        </is>
      </c>
      <c r="G49" s="71" t="inlineStr">
        <is>
          <t>M7</t>
        </is>
      </c>
      <c r="H49" s="71" t="inlineStr">
        <is>
          <t>Niski</t>
        </is>
      </c>
    </row>
  </sheetData>
  <autoFilter ref="A1:H49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47" min="1" max="1"/>
    <col width="46" customWidth="1" style="47" min="2" max="2"/>
    <col width="54" customWidth="1" style="47" min="3" max="3"/>
    <col width="14" customWidth="1" style="47" min="4" max="4"/>
  </cols>
  <sheetData>
    <row r="1" ht="15" customHeight="1" s="48">
      <c r="A1" s="52" t="inlineStr">
        <is>
          <t>Task</t>
        </is>
      </c>
      <c r="B1" s="52" t="inlineStr">
        <is>
          <t>Domena / pliki</t>
        </is>
      </c>
      <c r="C1" s="52" t="inlineStr">
        <is>
          <t>Skrzynka (czyta / pisze)</t>
        </is>
      </c>
      <c r="D1" s="52" t="inlineStr">
        <is>
          <t>Status sesji</t>
        </is>
      </c>
    </row>
    <row r="2" ht="15" customHeight="1" s="48">
      <c r="A2" s="82" t="inlineStr">
        <is>
          <t>Civ-MASTER</t>
        </is>
      </c>
      <c r="B2" s="71" t="inlineStr">
        <is>
          <t>koordynacja + recenzja (NIE koduje)</t>
        </is>
      </c>
      <c r="C2" s="71" t="inlineStr">
        <is>
          <t>(ta sesja)</t>
        </is>
      </c>
      <c r="D2" s="72" t="inlineStr">
        <is>
          <t>Aktywny</t>
        </is>
      </c>
    </row>
    <row r="3" ht="15" customHeight="1" s="48">
      <c r="A3" s="83" t="inlineStr">
        <is>
          <t>Civ-SILNIK</t>
        </is>
      </c>
      <c r="B3" s="71" t="inlineStr">
        <is>
          <t>main.ts + wpinanie game/* + JEDYNY publisher kanonu</t>
        </is>
      </c>
      <c r="C3" s="71" t="inlineStr">
        <is>
          <t>dyspozycje/SILNIK.md / SILNIK-DO-MASTERA.md</t>
        </is>
      </c>
      <c r="D3" s="72" t="inlineStr">
        <is>
          <t>Aktywny</t>
        </is>
      </c>
    </row>
    <row r="4" ht="15" customHeight="1" s="48">
      <c r="A4" s="84" t="inlineStr">
        <is>
          <t>Civ-UNITS</t>
        </is>
      </c>
      <c r="B4" s="71" t="inlineStr">
        <is>
          <t>render/units.ts + battle/*</t>
        </is>
      </c>
      <c r="C4" s="71" t="inlineStr">
        <is>
          <t>dyspozycje/UNITS.md / UNITS-DO-MASTERA.md</t>
        </is>
      </c>
      <c r="D4" s="72" t="inlineStr">
        <is>
          <t>Aktywny</t>
        </is>
      </c>
    </row>
    <row r="5" ht="23.25" customHeight="1" s="48">
      <c r="A5" s="85" t="inlineStr">
        <is>
          <t>Civ-MAPA</t>
        </is>
      </c>
      <c r="B5" s="71" t="inlineStr">
        <is>
          <t>render/scene.ts + map/* + render/cities.ts</t>
        </is>
      </c>
      <c r="C5" s="71" t="inlineStr">
        <is>
          <t>dyspozycje/RENDER-MAPA.md / RENDER-MAPA-DO-MASTERA.md</t>
        </is>
      </c>
      <c r="D5" s="72" t="inlineStr">
        <is>
          <t>Aktywny</t>
        </is>
      </c>
    </row>
    <row r="6" ht="15" customHeight="1" s="48">
      <c r="A6" s="86" t="inlineStr">
        <is>
          <t>Civ-DANE</t>
        </is>
      </c>
      <c r="B6" s="71" t="inlineStr">
        <is>
          <t>Cywilizacje.xlsx + civs.json</t>
        </is>
      </c>
      <c r="C6" s="71" t="inlineStr">
        <is>
          <t>dyspozycje/DANE-CYW.md / DANE-CYW-DO-MASTERA.md</t>
        </is>
      </c>
      <c r="D6" s="72" t="inlineStr">
        <is>
          <t>Aktywny</t>
        </is>
      </c>
    </row>
    <row r="7" ht="23.25" customHeight="1" s="48">
      <c r="A7" s="87" t="inlineStr">
        <is>
          <t>Civ-UI</t>
        </is>
      </c>
      <c r="B7" s="71" t="inlineStr">
        <is>
          <t>src/ui/* (panele, HUD, menu)</t>
        </is>
      </c>
      <c r="C7" s="71" t="inlineStr">
        <is>
          <t>dyspozycje/UI.md / UI-DO-MASTERA.md</t>
        </is>
      </c>
      <c r="D7" s="73" t="inlineStr">
        <is>
          <t>DO OTWARCIA</t>
        </is>
      </c>
    </row>
    <row r="8" ht="15" customHeight="1" s="48">
      <c r="A8" s="83" t="inlineStr">
        <is>
          <t>Civ-EKONOMIA</t>
        </is>
      </c>
      <c r="B8" s="71" t="inlineStr">
        <is>
          <t>model+zasady ekonomii: game/economy.ts, turn-economy.ts, upkeep.ts; Ekonomia-parametry/Surowce</t>
        </is>
      </c>
      <c r="C8" s="71" t="inlineStr">
        <is>
          <t>dyspozycje/EKONOMIA.md / EKONOMIA-DO-MASTERA.md</t>
        </is>
      </c>
      <c r="D8" s="73" t="inlineStr">
        <is>
          <t>DO OTWARCIA</t>
        </is>
      </c>
    </row>
    <row r="9" ht="23.25" customHeight="1" s="48">
      <c r="A9" s="88" t="inlineStr">
        <is>
          <t>Civ-MIASTO</t>
        </is>
      </c>
      <c r="B9" s="71" t="inlineStr">
        <is>
          <t>miasto+budynki+produkcja + SPOLECZENSTWO (porzadek/kultura/religia): cities.ts, production.ts, order.ts, culture-religion.ts; Budynki.xlsx + Spoleczenstwo-parametry.xlsx</t>
        </is>
      </c>
      <c r="C9" s="71" t="inlineStr">
        <is>
          <t>dyspozycje/MIASTO.md / MIASTO-DO-MASTERA.md</t>
        </is>
      </c>
      <c r="D9" s="73" t="inlineStr">
        <is>
          <t>DO OTWARCIA</t>
        </is>
      </c>
    </row>
    <row r="10" ht="23.25" customHeight="1" s="48">
      <c r="A10" s="86" t="inlineStr">
        <is>
          <t>Civ-DYPLOMACJA</t>
        </is>
      </c>
      <c r="B10" s="71" t="inlineStr">
        <is>
          <t>dyplomacja: game/diplomacy.ts; Dyplomacja.xlsx</t>
        </is>
      </c>
      <c r="C10" s="71" t="inlineStr">
        <is>
          <t>dyspozycje/DYPLOMACJA.md / DYPLOMACJA-DO-MASTERA.md</t>
        </is>
      </c>
      <c r="D10" s="73" t="inlineStr">
        <is>
          <t>DO OTWARCIA</t>
        </is>
      </c>
    </row>
    <row r="11" ht="23.25" customHeight="1" s="48">
      <c r="A11" s="89" t="inlineStr">
        <is>
          <t>Civ-AI</t>
        </is>
      </c>
      <c r="B11" s="71" t="inlineStr">
        <is>
          <t>AI + zwyciestwo + barbarzyncy: ai.ts, victory.ts, barbarians.ts; AI-parametry.xlsx</t>
        </is>
      </c>
      <c r="C11" s="71" t="inlineStr">
        <is>
          <t>dyspozycje/AI.md / AI-DO-MASTERA.md</t>
        </is>
      </c>
      <c r="D11" s="73" t="inlineStr">
        <is>
          <t>DO OTWARCIA</t>
        </is>
      </c>
    </row>
    <row r="12" ht="23.25" customHeight="1" s="48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FCE4D6"/>
    <outlinePr summaryBelow="1" summaryRight="1"/>
    <pageSetUpPr fitToPage="0"/>
  </sheetPr>
  <dimension ref="A1:D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5" customWidth="1" style="47" min="1" max="1"/>
    <col width="66" customWidth="1" style="47" min="2" max="2"/>
    <col width="14" customWidth="1" style="47" min="3" max="3"/>
    <col width="24" customWidth="1" style="47" min="4" max="4"/>
  </cols>
  <sheetData>
    <row r="1" ht="17.25" customHeight="1" s="48">
      <c r="A1" s="90" t="inlineStr">
        <is>
          <t>ZADANIE: Civ-SILNIK</t>
        </is>
      </c>
    </row>
    <row r="2" ht="15" customHeight="1" s="48">
      <c r="A2" s="50" t="inlineStr">
        <is>
          <t>Domena: main.ts + wpinanie game/* + JEDYNY publisher kanonu Gra-podglad.html</t>
        </is>
      </c>
    </row>
    <row r="3" ht="15" customHeight="1" s="48">
      <c r="A3" s="50" t="inlineStr">
        <is>
          <t>Po wykonaniu kroku ustaw STATUS = Zrobione (zazieleni sie). Dopisz date/uwage.</t>
        </is>
      </c>
    </row>
    <row r="5" ht="15" customHeight="1" s="48">
      <c r="A5" s="52" t="inlineStr">
        <is>
          <t>#</t>
        </is>
      </c>
      <c r="B5" s="52" t="inlineStr">
        <is>
          <t>Krok</t>
        </is>
      </c>
      <c r="C5" s="52" t="inlineStr">
        <is>
          <t>Status</t>
        </is>
      </c>
      <c r="D5" s="52" t="inlineStr">
        <is>
          <t>Data / uwaga</t>
        </is>
      </c>
    </row>
    <row r="6" ht="23.25" customHeight="1" s="48">
      <c r="A6" s="91" t="n">
        <v>1</v>
      </c>
      <c r="B6" s="71" t="inlineStr">
        <is>
          <t>Konsolidacja: po hydracji `npx vite build` + testy + publikacja kanonu (wciaga wizualia Units)</t>
        </is>
      </c>
      <c r="C6" s="92" t="inlineStr">
        <is>
          <t>Niezrobione</t>
        </is>
      </c>
      <c r="D6" s="93" t="n"/>
    </row>
    <row r="7" ht="15" customHeight="1" s="48">
      <c r="A7" s="91" t="n">
        <v>2</v>
      </c>
      <c r="B7" s="71" t="inlineStr">
        <is>
          <t>Wpiecie production.ts (kolejka) + budowa/ulepszanie budynkow</t>
        </is>
      </c>
      <c r="C7" s="92" t="inlineStr">
        <is>
          <t>Niezrobione</t>
        </is>
      </c>
      <c r="D7" s="93" t="n"/>
    </row>
    <row r="8" ht="15" customHeight="1" s="48">
      <c r="A8" s="91" t="n">
        <v>3</v>
      </c>
      <c r="B8" s="71" t="inlineStr">
        <is>
          <t>Wpiecie ai.ts (tura rywali) + victory.ts (+ ekran konca)</t>
        </is>
      </c>
      <c r="C8" s="92" t="inlineStr">
        <is>
          <t>Niezrobione</t>
        </is>
      </c>
      <c r="D8" s="93" t="n"/>
    </row>
    <row r="9" ht="15" customHeight="1" s="48">
      <c r="A9" s="91" t="n">
        <v>4</v>
      </c>
      <c r="B9" s="71" t="inlineStr">
        <is>
          <t>Walka z mapy (atak-&gt;przedbitwa-&gt;wynik) + wpiecie siege.ts + manualBattle.ts</t>
        </is>
      </c>
      <c r="C9" s="92" t="inlineStr">
        <is>
          <t>Niezrobione</t>
        </is>
      </c>
      <c r="D9" s="93" t="n"/>
    </row>
    <row r="10" ht="15" customHeight="1" s="48">
      <c r="A10" s="91" t="n">
        <v>5</v>
      </c>
      <c r="B10" s="71" t="inlineStr">
        <is>
          <t>Wpiecie diplomacy.ts + culture-religion.ts + order.ts (najpierw fix bug testu)</t>
        </is>
      </c>
      <c r="C10" s="92" t="inlineStr">
        <is>
          <t>Niezrobione</t>
        </is>
      </c>
      <c r="D10" s="93" t="n"/>
    </row>
    <row r="11" ht="15" customHeight="1" s="48">
      <c r="A11" s="91" t="n">
        <v>6</v>
      </c>
      <c r="B11" s="71" t="inlineStr">
        <is>
          <t>Wpiecie save.ts (zapis/odczyt + sloty)</t>
        </is>
      </c>
      <c r="C11" s="92" t="inlineStr">
        <is>
          <t>Niezrobione</t>
        </is>
      </c>
      <c r="D11" s="93" t="n"/>
    </row>
    <row r="12" ht="15" customHeight="1" s="48">
      <c r="A12" s="91" t="n">
        <v>7</v>
      </c>
      <c r="B12" s="71" t="inlineStr">
        <is>
          <t>Nowa gra: flow startu -&gt; generacja -&gt; gra (UI od Civ-UI)</t>
        </is>
      </c>
      <c r="C12" s="92" t="inlineStr">
        <is>
          <t>Niezrobione</t>
        </is>
      </c>
      <c r="D12" s="93" t="n"/>
    </row>
    <row r="13" ht="23.25" customHeight="1" s="48">
      <c r="A13" s="91" t="n">
        <v>8</v>
      </c>
      <c r="B13" s="71" t="inlineStr">
        <is>
          <t>Higiena: fix export-data.py (zaszyta sciezka) + usun orphany research.ts/player-economy.ts</t>
        </is>
      </c>
      <c r="C13" s="92" t="inlineStr">
        <is>
          <t>Niezrobione</t>
        </is>
      </c>
      <c r="D13" s="93" t="n"/>
    </row>
  </sheetData>
  <conditionalFormatting sqref="C6:C13">
    <cfRule type="cellIs" rank="0" priority="2" equalAverage="0" operator="equal" aboveAverage="0" dxfId="17" text="" percent="0" bottom="0">
      <formula>"Zrobione"</formula>
    </cfRule>
    <cfRule type="cellIs" rank="0" priority="3" equalAverage="0" operator="equal" aboveAverage="0" dxfId="18" text="" percent="0" bottom="0">
      <formula>"W toku"</formula>
    </cfRule>
    <cfRule type="cellIs" rank="0" priority="4" equalAverage="0" operator="equal" aboveAverage="0" dxfId="19" text="" percent="0" bottom="0">
      <formula>"Niezrobione"</formula>
    </cfRule>
  </conditionalFormatting>
  <dataValidations count="1">
    <dataValidation sqref="C6:C13" showDropDown="0" showInputMessage="0" showErrorMessage="0" allowBlank="1" type="list" errorStyle="stop" operator="between">
      <formula1>"Niezrobione,W toku,Zrobione"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FCE4D6"/>
    <outlinePr summaryBelow="1" summaryRight="1"/>
    <pageSetUpPr fitToPage="0"/>
  </sheetPr>
  <dimension ref="A1:D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5" customWidth="1" style="47" min="1" max="1"/>
    <col width="66" customWidth="1" style="47" min="2" max="2"/>
    <col width="14" customWidth="1" style="47" min="3" max="3"/>
    <col width="24" customWidth="1" style="47" min="4" max="4"/>
  </cols>
  <sheetData>
    <row r="1" ht="17.25" customHeight="1" s="48">
      <c r="A1" s="90" t="inlineStr">
        <is>
          <t>ZADANIE: Civ-EKONOMIA (miasto + gospodarka; wchlonelo MIASTO)</t>
        </is>
      </c>
    </row>
    <row r="2" ht="15" customHeight="1" s="48">
      <c r="A2" s="50" t="inlineStr">
        <is>
          <t>Domena: model i zasady ekonomii: game/economy.ts, turn-economy.ts, upkeep.ts + Ekonomia-parametry.xlsx, Surowce.xlsx</t>
        </is>
      </c>
    </row>
    <row r="3" ht="15" customHeight="1" s="48">
      <c r="A3" s="50" t="inlineStr">
        <is>
          <t>Po wykonaniu kroku ustaw STATUS = Zrobione (zazieleni sie). Dopisz date/uwage.</t>
        </is>
      </c>
    </row>
    <row r="5" ht="15" customHeight="1" s="48">
      <c r="A5" s="52" t="inlineStr">
        <is>
          <t>#</t>
        </is>
      </c>
      <c r="B5" s="52" t="inlineStr">
        <is>
          <t>Krok</t>
        </is>
      </c>
      <c r="C5" s="52" t="inlineStr">
        <is>
          <t>Status</t>
        </is>
      </c>
      <c r="D5" s="52" t="inlineStr">
        <is>
          <t>Data / uwaga</t>
        </is>
      </c>
    </row>
    <row r="6" ht="23.25" customHeight="1" s="48">
      <c r="A6" s="91" t="n">
        <v>1</v>
      </c>
      <c r="B6" s="71" t="inlineStr">
        <is>
          <t>Przejrzec/dopracowac model ekonomii (economy.ts, turn-economy.ts): Praca-&gt;Pieniadz-&gt;Energia, plony/wzrost/skarbiec</t>
        </is>
      </c>
      <c r="C6" s="92" t="inlineStr">
        <is>
          <t>Niezrobione</t>
        </is>
      </c>
      <c r="D6" s="54" t="n"/>
    </row>
    <row r="7" ht="15" customHeight="1" s="48">
      <c r="A7" s="91" t="n">
        <v>2</v>
      </c>
      <c r="B7" s="71" t="inlineStr">
        <is>
          <t>Napisac game/upkeep.ts: magazyny + utrzymanie per budynek/jednostka + test</t>
        </is>
      </c>
      <c r="C7" s="92" t="inlineStr">
        <is>
          <t>Niezrobione</t>
        </is>
      </c>
      <c r="D7" s="54" t="n"/>
    </row>
    <row r="8" ht="23.25" customHeight="1" s="48">
      <c r="A8" s="91" t="n">
        <v>3</v>
      </c>
      <c r="B8" s="71" t="inlineStr">
        <is>
          <t>Wspolczynniki -&gt; Ekonomia-parametry.xlsx + Surowce.xlsx (panel Maciej) + targeted export JSON</t>
        </is>
      </c>
      <c r="C8" s="92" t="inlineStr">
        <is>
          <t>Niezrobione</t>
        </is>
      </c>
      <c r="D8" s="54" t="n"/>
    </row>
  </sheetData>
  <conditionalFormatting sqref="C6:C8">
    <cfRule type="cellIs" rank="0" priority="2" equalAverage="0" operator="equal" aboveAverage="0" dxfId="17" text="" percent="0" bottom="0">
      <formula>"Zrobione"</formula>
    </cfRule>
    <cfRule type="cellIs" rank="0" priority="3" equalAverage="0" operator="equal" aboveAverage="0" dxfId="18" text="" percent="0" bottom="0">
      <formula>"W toku"</formula>
    </cfRule>
    <cfRule type="cellIs" rank="0" priority="4" equalAverage="0" operator="equal" aboveAverage="0" dxfId="19" text="" percent="0" bottom="0">
      <formula>"Niezrobione"</formula>
    </cfRule>
  </conditionalFormatting>
  <dataValidations count="1">
    <dataValidation sqref="C6:C8" showDropDown="0" showInputMessage="0" showErrorMessage="0" allowBlank="1" type="list" errorStyle="stop" operator="between">
      <formula1>"Niezrobione,W toku,Zrobione"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FFF2CC"/>
    <outlinePr summaryBelow="1" summaryRight="1"/>
    <pageSetUpPr fitToPage="0"/>
  </sheetPr>
  <dimension ref="A1:D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5" customWidth="1" style="47" min="1" max="1"/>
    <col width="70" customWidth="1" style="47" min="2" max="2"/>
    <col width="14" customWidth="1" style="47" min="3" max="3"/>
    <col width="22" customWidth="1" style="47" min="4" max="4"/>
  </cols>
  <sheetData>
    <row r="1" ht="17.25" customHeight="1" s="48">
      <c r="A1" s="90" t="inlineStr">
        <is>
          <t>SCALONE -&gt; Civ-EKONOMIA (miasto wchloniete do ekonomii)</t>
        </is>
      </c>
    </row>
    <row r="2" ht="15" customHeight="1" s="48">
      <c r="A2" s="50" t="inlineStr">
        <is>
          <t>Domena: miasto + budynki + produkcja + SPOLECZENSTWO (porzadek/kultura/religia)</t>
        </is>
      </c>
    </row>
    <row r="3" ht="15" customHeight="1" s="48">
      <c r="A3" s="50" t="inlineStr">
        <is>
          <t>Po wykonaniu kroku ustaw STATUS = Zrobione (zazieleni sie).</t>
        </is>
      </c>
    </row>
    <row r="5" ht="15" customHeight="1" s="48">
      <c r="A5" s="52" t="inlineStr">
        <is>
          <t>#</t>
        </is>
      </c>
      <c r="B5" s="52" t="inlineStr">
        <is>
          <t>Krok</t>
        </is>
      </c>
      <c r="C5" s="52" t="inlineStr">
        <is>
          <t>Status</t>
        </is>
      </c>
      <c r="D5" s="52" t="inlineStr">
        <is>
          <t>Data / uwaga</t>
        </is>
      </c>
    </row>
    <row r="6" ht="15" customHeight="1" s="48">
      <c r="A6" s="91" t="n">
        <v>1</v>
      </c>
      <c r="B6" s="71" t="inlineStr">
        <is>
          <t>Miasto jako obiekt: zakladanie, wzrost (cities.ts -- wpiete)</t>
        </is>
      </c>
      <c r="C6" s="92" t="inlineStr">
        <is>
          <t>Zrobione</t>
        </is>
      </c>
      <c r="D6" s="54" t="n"/>
    </row>
    <row r="7" ht="15" customHeight="1" s="48">
      <c r="A7" s="91" t="n">
        <v>2</v>
      </c>
      <c r="B7" s="71" t="inlineStr">
        <is>
          <t>Kolejka produkcji (production.ts): co miasto buduje, postep wg Pracy</t>
        </is>
      </c>
      <c r="C7" s="92" t="inlineStr">
        <is>
          <t>Niezrobione</t>
        </is>
      </c>
      <c r="D7" s="54" t="n"/>
    </row>
    <row r="8" ht="15" customHeight="1" s="48">
      <c r="A8" s="91" t="n">
        <v>3</v>
      </c>
      <c r="B8" s="71" t="inlineStr">
        <is>
          <t>Budynki: budowa/ulepszanie per epoka wg Budynki.xlsx</t>
        </is>
      </c>
      <c r="C8" s="92" t="inlineStr">
        <is>
          <t>Niezrobione</t>
        </is>
      </c>
      <c r="D8" s="54" t="n"/>
    </row>
    <row r="9" ht="15" customHeight="1" s="48">
      <c r="A9" s="91" t="n">
        <v>4</v>
      </c>
      <c r="B9" s="71" t="inlineStr">
        <is>
          <t>SPOLECZENSTWO: napraw bug order.ts ("loadOrderParams scales by difficulty")</t>
        </is>
      </c>
      <c r="C9" s="92" t="inlineStr">
        <is>
          <t>Niezrobione</t>
        </is>
      </c>
      <c r="D9" s="54" t="n"/>
    </row>
    <row r="10" ht="23.25" customHeight="1" s="48">
      <c r="A10" s="91" t="n">
        <v>5</v>
      </c>
      <c r="B10" s="71" t="inlineStr">
        <is>
          <t>SPOLECZENSTWO: Porzadek=Szczescie+Prawo, progi T1/T2 (bunt), garnizon/budynki (order.ts)</t>
        </is>
      </c>
      <c r="C10" s="92" t="inlineStr">
        <is>
          <t>Niezrobione</t>
        </is>
      </c>
      <c r="D10" s="54" t="n"/>
    </row>
    <row r="11" ht="23.25" customHeight="1" s="48">
      <c r="A11" s="91" t="n">
        <v>6</v>
      </c>
      <c r="B11" s="71" t="inlineStr">
        <is>
          <t>SPOLECZENSTWO: Kultura/religia -- granice/zadowolenie/konwersja przez swiatynie (culture-religion.ts)</t>
        </is>
      </c>
      <c r="C11" s="92" t="inlineStr">
        <is>
          <t>Niezrobione</t>
        </is>
      </c>
      <c r="D11" s="54" t="n"/>
    </row>
  </sheetData>
  <conditionalFormatting sqref="C6:C11">
    <cfRule type="cellIs" rank="0" priority="2" equalAverage="0" operator="equal" aboveAverage="0" dxfId="17" text="" percent="0" bottom="0">
      <formula>"Zrobione"</formula>
    </cfRule>
    <cfRule type="cellIs" rank="0" priority="3" equalAverage="0" operator="equal" aboveAverage="0" dxfId="18" text="" percent="0" bottom="0">
      <formula>"W toku"</formula>
    </cfRule>
    <cfRule type="cellIs" rank="0" priority="4" equalAverage="0" operator="equal" aboveAverage="0" dxfId="19" text="" percent="0" bottom="0">
      <formula>"Niezrobione"</formula>
    </cfRule>
  </conditionalFormatting>
  <dataValidations count="1">
    <dataValidation sqref="C6:C11" showDropDown="0" showInputMessage="0" showErrorMessage="0" allowBlank="1" type="list" errorStyle="stop" operator="between">
      <formula1>"Niezrobione,W toku,Zrobione"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EAD1DC"/>
    <outlinePr summaryBelow="1" summaryRight="1"/>
    <pageSetUpPr fitToPage="0"/>
  </sheetPr>
  <dimension ref="A1:D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5" customWidth="1" style="47" min="1" max="1"/>
    <col width="66" customWidth="1" style="47" min="2" max="2"/>
    <col width="14" customWidth="1" style="47" min="3" max="3"/>
    <col width="24" customWidth="1" style="47" min="4" max="4"/>
  </cols>
  <sheetData>
    <row r="1" ht="17.25" customHeight="1" s="48">
      <c r="A1" s="90" t="inlineStr">
        <is>
          <t>ZADANIE: Civ-CYWILIZACJE (scalone DANE+DYPLOMACJA) — dane per-cyw + diplomacy.ts</t>
        </is>
      </c>
    </row>
    <row r="2" ht="15" customHeight="1" s="48">
      <c r="A2" s="50" t="inlineStr">
        <is>
          <t>Domena: zasady dyplomacji w jednym miejscu: game/diplomacy.ts + Dyplomacja.xlsx</t>
        </is>
      </c>
    </row>
    <row r="3" ht="15" customHeight="1" s="48">
      <c r="A3" s="50" t="inlineStr">
        <is>
          <t>Po wykonaniu kroku ustaw STATUS = Zrobione (zazieleni sie). Dopisz date/uwage.</t>
        </is>
      </c>
    </row>
    <row r="5" ht="15" customHeight="1" s="48">
      <c r="A5" s="52" t="inlineStr">
        <is>
          <t>#</t>
        </is>
      </c>
      <c r="B5" s="52" t="inlineStr">
        <is>
          <t>Krok</t>
        </is>
      </c>
      <c r="C5" s="52" t="inlineStr">
        <is>
          <t>Status</t>
        </is>
      </c>
      <c r="D5" s="52" t="inlineStr">
        <is>
          <t>Data / uwaga</t>
        </is>
      </c>
    </row>
    <row r="6" ht="23.25" customHeight="1" s="48">
      <c r="A6" s="91" t="n">
        <v>1</v>
      </c>
      <c r="B6" s="71" t="inlineStr">
        <is>
          <t>Model dyplomacji (diplomacy.ts): Relacja=Zaufanie+Respekt, progi, reakcje -- dopracowac</t>
        </is>
      </c>
      <c r="C6" s="92" t="inlineStr">
        <is>
          <t>Niezrobione</t>
        </is>
      </c>
      <c r="D6" s="54" t="n"/>
    </row>
    <row r="7" ht="23.25" customHeight="1" s="48">
      <c r="A7" s="91" t="n">
        <v>2</v>
      </c>
      <c r="B7" s="71" t="inlineStr">
        <is>
          <t>Wspolczynniki -&gt; Dyplomacja.xlsx (panel Maciej) + targeted export diplomacy.json</t>
        </is>
      </c>
      <c r="C7" s="92" t="inlineStr">
        <is>
          <t>Niezrobione</t>
        </is>
      </c>
      <c r="D7" s="54" t="n"/>
    </row>
    <row r="8" ht="15" customHeight="1" s="48">
      <c r="A8" s="91" t="n">
        <v>3</v>
      </c>
      <c r="B8" s="71" t="inlineStr">
        <is>
          <t>Zasady dyplomacji spojne z PROJEKT-GRY-master (jedno miejsce)</t>
        </is>
      </c>
      <c r="C8" s="92" t="inlineStr">
        <is>
          <t>Niezrobione</t>
        </is>
      </c>
      <c r="D8" s="54" t="n"/>
    </row>
  </sheetData>
  <conditionalFormatting sqref="C6:C8">
    <cfRule type="cellIs" rank="0" priority="2" equalAverage="0" operator="equal" aboveAverage="0" dxfId="17" text="" percent="0" bottom="0">
      <formula>"Zrobione"</formula>
    </cfRule>
    <cfRule type="cellIs" rank="0" priority="3" equalAverage="0" operator="equal" aboveAverage="0" dxfId="18" text="" percent="0" bottom="0">
      <formula>"W toku"</formula>
    </cfRule>
    <cfRule type="cellIs" rank="0" priority="4" equalAverage="0" operator="equal" aboveAverage="0" dxfId="19" text="" percent="0" bottom="0">
      <formula>"Niezrobione"</formula>
    </cfRule>
  </conditionalFormatting>
  <dataValidations count="1">
    <dataValidation sqref="C6:C8" showDropDown="0" showInputMessage="0" showErrorMessage="0" allowBlank="1" type="list" errorStyle="stop" operator="between">
      <formula1>"Niezrobione,W toku,Zrobione"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tabColor rgb="FFE4DFEC"/>
    <outlinePr summaryBelow="1" summaryRight="1"/>
    <pageSetUpPr fitToPage="0"/>
  </sheetPr>
  <dimension ref="A1:D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5" customWidth="1" style="47" min="1" max="1"/>
    <col width="70" customWidth="1" style="47" min="2" max="2"/>
    <col width="14" customWidth="1" style="47" min="3" max="3"/>
    <col width="22" customWidth="1" style="47" min="4" max="4"/>
  </cols>
  <sheetData>
    <row r="1" ht="17.25" customHeight="1" s="48">
      <c r="A1" s="90" t="inlineStr">
        <is>
          <t>SCALONE -&gt; Civ-CYWILIZACJE (AI wchloniete: dane AI-zachowanie + kod ai/barbarians/victory)</t>
        </is>
      </c>
    </row>
    <row r="2" ht="15" customHeight="1" s="48">
      <c r="A2" s="50" t="inlineStr">
        <is>
          <t>Domena: AI rywali + zwyciestwo + barbarzyncy: ai.ts, victory.ts, barbarians.ts</t>
        </is>
      </c>
    </row>
    <row r="3" ht="15" customHeight="1" s="48">
      <c r="A3" s="50" t="inlineStr">
        <is>
          <t>Po wykonaniu kroku ustaw STATUS = Zrobione (zazieleni sie).</t>
        </is>
      </c>
    </row>
    <row r="5" ht="15" customHeight="1" s="48">
      <c r="A5" s="52" t="inlineStr">
        <is>
          <t>#</t>
        </is>
      </c>
      <c r="B5" s="52" t="inlineStr">
        <is>
          <t>Krok</t>
        </is>
      </c>
      <c r="C5" s="52" t="inlineStr">
        <is>
          <t>Status</t>
        </is>
      </c>
      <c r="D5" s="52" t="inlineStr">
        <is>
          <t>Data / uwaga</t>
        </is>
      </c>
    </row>
    <row r="6" ht="15" customHeight="1" s="48">
      <c r="A6" s="91" t="n">
        <v>1</v>
      </c>
      <c r="B6" s="71" t="inlineStr">
        <is>
          <t>ai.ts: decyzje rywali (ruch/zakladanie/atak/budowa/badania)</t>
        </is>
      </c>
      <c r="C6" s="92" t="inlineStr">
        <is>
          <t>Niezrobione</t>
        </is>
      </c>
      <c r="D6" s="54" t="n"/>
    </row>
    <row r="7" ht="15" customHeight="1" s="48">
      <c r="A7" s="91" t="n">
        <v>2</v>
      </c>
      <c r="B7" s="71" t="inlineStr">
        <is>
          <t>victory.ts: warunki zwyciestwa (dominacja typu + nauka/statek) + ekran konca</t>
        </is>
      </c>
      <c r="C7" s="92" t="inlineStr">
        <is>
          <t>Niezrobione</t>
        </is>
      </c>
      <c r="D7" s="54" t="n"/>
    </row>
    <row r="8" ht="15" customHeight="1" s="48">
      <c r="A8" s="91" t="n">
        <v>3</v>
      </c>
      <c r="B8" s="71" t="inlineStr">
        <is>
          <t>barbarians.ts (NOWY): neutralni wrogowie -- obozy, agresja, ruch + test</t>
        </is>
      </c>
      <c r="C8" s="92" t="inlineStr">
        <is>
          <t>Niezrobione</t>
        </is>
      </c>
      <c r="D8" s="54" t="n"/>
    </row>
    <row r="9" ht="15" customHeight="1" s="48">
      <c r="A9" s="91" t="n">
        <v>4</v>
      </c>
      <c r="B9" s="71" t="inlineStr">
        <is>
          <t>Wspolczynniki -&gt; AI-parametry.xlsx (panel Maciej) + targeted export ai-params.json</t>
        </is>
      </c>
      <c r="C9" s="92" t="inlineStr">
        <is>
          <t>Niezrobione</t>
        </is>
      </c>
      <c r="D9" s="54" t="n"/>
    </row>
  </sheetData>
  <conditionalFormatting sqref="C6:C9">
    <cfRule type="cellIs" rank="0" priority="2" equalAverage="0" operator="equal" aboveAverage="0" dxfId="17" text="" percent="0" bottom="0">
      <formula>"Zrobione"</formula>
    </cfRule>
    <cfRule type="cellIs" rank="0" priority="3" equalAverage="0" operator="equal" aboveAverage="0" dxfId="18" text="" percent="0" bottom="0">
      <formula>"W toku"</formula>
    </cfRule>
    <cfRule type="cellIs" rank="0" priority="4" equalAverage="0" operator="equal" aboveAverage="0" dxfId="19" text="" percent="0" bottom="0">
      <formula>"Niezrobione"</formula>
    </cfRule>
  </conditionalFormatting>
  <dataValidations count="1">
    <dataValidation sqref="C6:C9" showDropDown="0" showInputMessage="0" showErrorMessage="0" allowBlank="1" type="list" errorStyle="stop" operator="between">
      <formula1>"Niezrobione,W toku,Zrobione"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DDEBF7"/>
    <outlinePr summaryBelow="1" summaryRight="1"/>
    <pageSetUpPr fitToPage="0"/>
  </sheetPr>
  <dimension ref="A1:D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5" customWidth="1" style="47" min="1" max="1"/>
    <col width="66" customWidth="1" style="47" min="2" max="2"/>
    <col width="14" customWidth="1" style="47" min="3" max="3"/>
    <col width="24" customWidth="1" style="47" min="4" max="4"/>
  </cols>
  <sheetData>
    <row r="1" ht="17.25" customHeight="1" s="48">
      <c r="A1" s="90" t="inlineStr">
        <is>
          <t>ZADANIE: Civ-UNITS</t>
        </is>
      </c>
    </row>
    <row r="2" ht="15" customHeight="1" s="48">
      <c r="A2" s="50" t="inlineStr">
        <is>
          <t>Domena: render/units.ts + battle/* (jedyny wlasciciel units.ts)</t>
        </is>
      </c>
    </row>
    <row r="3" ht="15" customHeight="1" s="48">
      <c r="A3" s="50" t="inlineStr">
        <is>
          <t>Po wykonaniu kroku ustaw STATUS = Zrobione (zazieleni sie). Dopisz date/uwage.</t>
        </is>
      </c>
    </row>
    <row r="5" ht="15" customHeight="1" s="48">
      <c r="A5" s="52" t="inlineStr">
        <is>
          <t>#</t>
        </is>
      </c>
      <c r="B5" s="52" t="inlineStr">
        <is>
          <t>Krok</t>
        </is>
      </c>
      <c r="C5" s="52" t="inlineStr">
        <is>
          <t>Status</t>
        </is>
      </c>
      <c r="D5" s="52" t="inlineStr">
        <is>
          <t>Data / uwaga</t>
        </is>
      </c>
    </row>
    <row r="6" ht="23.25" customHeight="1" s="48">
      <c r="A6" s="91" t="n">
        <v>1</v>
      </c>
      <c r="B6" s="71" t="inlineStr">
        <is>
          <t>Linia typeId w UnitRenderer.sync (~3461/3477) -- rozroznienie jednostek na mapie</t>
        </is>
      </c>
      <c r="C6" s="92" t="inlineStr">
        <is>
          <t>Niezrobione</t>
        </is>
      </c>
      <c r="D6" s="93" t="n"/>
    </row>
    <row r="7" ht="15" customHeight="1" s="48">
      <c r="A7" s="91" t="n">
        <v>2</v>
      </c>
      <c r="B7" s="71" t="inlineStr">
        <is>
          <t>Pas helmow: kazda jednostka wrecz ma widoczny helm (strzelcy moga bez)</t>
        </is>
      </c>
      <c r="C7" s="92" t="inlineStr">
        <is>
          <t>W toku</t>
        </is>
      </c>
      <c r="D7" s="93" t="n"/>
    </row>
    <row r="8" ht="15" customHeight="1" s="48">
      <c r="A8" s="91" t="n">
        <v>3</v>
      </c>
      <c r="B8" s="71" t="inlineStr">
        <is>
          <t>Zglos Civ-SILNIK -&gt; rebuild kanonu (wizualia wejda do gry)</t>
        </is>
      </c>
      <c r="C8" s="92" t="inlineStr">
        <is>
          <t>Niezrobione</t>
        </is>
      </c>
      <c r="D8" s="93" t="n"/>
    </row>
    <row r="9" ht="15" customHeight="1" s="48">
      <c r="A9" s="91" t="n">
        <v>4</v>
      </c>
      <c r="B9" s="71" t="inlineStr">
        <is>
          <t>Dopieszczenie bitwy wizualnie (po B7)</t>
        </is>
      </c>
      <c r="C9" s="92" t="inlineStr">
        <is>
          <t>Niezrobione</t>
        </is>
      </c>
      <c r="D9" s="93" t="n"/>
    </row>
    <row r="10" ht="15" customHeight="1" s="48">
      <c r="A10" s="91" t="n">
        <v>5</v>
      </c>
      <c r="B10" s="71" t="inlineStr">
        <is>
          <t>Jednostki Celtow/Germanow wg spec od Civ-DANE (przyszle)</t>
        </is>
      </c>
      <c r="C10" s="92" t="inlineStr">
        <is>
          <t>Niezrobione</t>
        </is>
      </c>
      <c r="D10" s="93" t="n"/>
    </row>
  </sheetData>
  <conditionalFormatting sqref="C6:C10">
    <cfRule type="cellIs" rank="0" priority="2" equalAverage="0" operator="equal" aboveAverage="0" dxfId="17" text="" percent="0" bottom="0">
      <formula>"Zrobione"</formula>
    </cfRule>
    <cfRule type="cellIs" rank="0" priority="3" equalAverage="0" operator="equal" aboveAverage="0" dxfId="18" text="" percent="0" bottom="0">
      <formula>"W toku"</formula>
    </cfRule>
    <cfRule type="cellIs" rank="0" priority="4" equalAverage="0" operator="equal" aboveAverage="0" dxfId="19" text="" percent="0" bottom="0">
      <formula>"Niezrobione"</formula>
    </cfRule>
  </conditionalFormatting>
  <dataValidations count="1">
    <dataValidation sqref="C6:C10" showDropDown="0" showInputMessage="0" showErrorMessage="0" allowBlank="1" type="list" errorStyle="stop" operator="between">
      <formula1>"Niezrobione,W toku,Zrobione"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tabColor rgb="FFE2EFDA"/>
    <outlinePr summaryBelow="1" summaryRight="1"/>
    <pageSetUpPr fitToPage="0"/>
  </sheetPr>
  <dimension ref="A1:D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5" customWidth="1" style="47" min="1" max="1"/>
    <col width="66" customWidth="1" style="47" min="2" max="2"/>
    <col width="14" customWidth="1" style="47" min="3" max="3"/>
    <col width="24" customWidth="1" style="47" min="4" max="4"/>
  </cols>
  <sheetData>
    <row r="1" ht="17.25" customHeight="1" s="48">
      <c r="A1" s="90" t="inlineStr">
        <is>
          <t>ZADANIE: Civ-MAPA</t>
        </is>
      </c>
    </row>
    <row r="2" ht="15" customHeight="1" s="48">
      <c r="A2" s="50" t="inlineStr">
        <is>
          <t>Domena: render/scene.ts + map/* + render/cities.ts</t>
        </is>
      </c>
    </row>
    <row r="3" ht="15" customHeight="1" s="48">
      <c r="A3" s="50" t="inlineStr">
        <is>
          <t>Po wykonaniu kroku ustaw STATUS = Zrobione (zazieleni sie). Dopisz date/uwage.</t>
        </is>
      </c>
    </row>
    <row r="5" ht="15" customHeight="1" s="48">
      <c r="A5" s="52" t="inlineStr">
        <is>
          <t>#</t>
        </is>
      </c>
      <c r="B5" s="52" t="inlineStr">
        <is>
          <t>Krok</t>
        </is>
      </c>
      <c r="C5" s="52" t="inlineStr">
        <is>
          <t>Status</t>
        </is>
      </c>
      <c r="D5" s="52" t="inlineStr">
        <is>
          <t>Data / uwaga</t>
        </is>
      </c>
    </row>
    <row r="6" ht="23.25" customHeight="1" s="48">
      <c r="A6" s="91" t="n">
        <v>1</v>
      </c>
      <c r="B6" s="71" t="inlineStr">
        <is>
          <t>F1 -- mapa ku Civ VI: rzeki na krawedziach + biomy + cieniowanie + ramka (ZERO rotateY na heksach)</t>
        </is>
      </c>
      <c r="C6" s="92" t="inlineStr">
        <is>
          <t>Zrobione</t>
        </is>
      </c>
      <c r="D6" s="93" t="inlineStr">
        <is>
          <t>22.06 F1 + miasta(stoneCity) + surowce(resources), zsync do projektu, do wpiecia przez SILNIK</t>
        </is>
      </c>
    </row>
    <row r="7" ht="23.25" customHeight="1" s="48">
      <c r="A7" s="91" t="n">
        <v>2</v>
      </c>
      <c r="B7" s="71" t="inlineStr">
        <is>
          <t>Spawn klastrow na mapie: N typow x10 miast (&gt;=9 pol odstepu) -- z Civ-SILNIK/AI (przyszle)</t>
        </is>
      </c>
      <c r="C7" s="92" t="inlineStr">
        <is>
          <t>Niezrobione</t>
        </is>
      </c>
      <c r="D7" s="93" t="n"/>
    </row>
  </sheetData>
  <conditionalFormatting sqref="C6:C7">
    <cfRule type="cellIs" rank="0" priority="2" equalAverage="0" operator="equal" aboveAverage="0" dxfId="17" text="" percent="0" bottom="0">
      <formula>"Zrobione"</formula>
    </cfRule>
    <cfRule type="cellIs" rank="0" priority="3" equalAverage="0" operator="equal" aboveAverage="0" dxfId="18" text="" percent="0" bottom="0">
      <formula>"W toku"</formula>
    </cfRule>
    <cfRule type="cellIs" rank="0" priority="4" equalAverage="0" operator="equal" aboveAverage="0" dxfId="19" text="" percent="0" bottom="0">
      <formula>"Niezrobione"</formula>
    </cfRule>
  </conditionalFormatting>
  <dataValidations count="1">
    <dataValidation sqref="C6:C7" showDropDown="0" showInputMessage="0" showErrorMessage="0" allowBlank="1" type="list" errorStyle="stop" operator="between">
      <formula1>"Niezrobione,W toku,Zrobione"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tabColor rgb="FFEAD1DC"/>
    <outlinePr summaryBelow="1" summaryRight="1"/>
    <pageSetUpPr fitToPage="0"/>
  </sheetPr>
  <dimension ref="A1:D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5" customWidth="1" style="47" min="1" max="1"/>
    <col width="66" customWidth="1" style="47" min="2" max="2"/>
    <col width="14" customWidth="1" style="47" min="3" max="3"/>
    <col width="24" customWidth="1" style="47" min="4" max="4"/>
  </cols>
  <sheetData>
    <row r="1" ht="17.25" customHeight="1" s="48">
      <c r="A1" s="90" t="inlineStr">
        <is>
          <t>SCALONE -&gt; Civ-CYWILIZACJE (DANE wchloniete)</t>
        </is>
      </c>
    </row>
    <row r="2" ht="15" customHeight="1" s="48">
      <c r="A2" s="50" t="inlineStr">
        <is>
          <t>Domena: Cywilizacje.xlsx + civs.json (ZAKAZ export-data.py / npm run build)</t>
        </is>
      </c>
    </row>
    <row r="3" ht="15" customHeight="1" s="48">
      <c r="A3" s="50" t="inlineStr">
        <is>
          <t>Po wykonaniu kroku ustaw STATUS = Zrobione (zazieleni sie). Dopisz date/uwage.</t>
        </is>
      </c>
    </row>
    <row r="5" ht="15" customHeight="1" s="48">
      <c r="A5" s="52" t="inlineStr">
        <is>
          <t>#</t>
        </is>
      </c>
      <c r="B5" s="52" t="inlineStr">
        <is>
          <t>Krok</t>
        </is>
      </c>
      <c r="C5" s="52" t="inlineStr">
        <is>
          <t>Status</t>
        </is>
      </c>
      <c r="D5" s="52" t="inlineStr">
        <is>
          <t>Data / uwaga</t>
        </is>
      </c>
    </row>
    <row r="6" ht="15" customHeight="1" s="48">
      <c r="A6" s="91" t="n">
        <v>1</v>
      </c>
      <c r="B6" s="71" t="inlineStr">
        <is>
          <t>Korekta roster: cofniete 43 wymyslone; 7 typow + religie (poprawne)</t>
        </is>
      </c>
      <c r="C6" s="92" t="inlineStr">
        <is>
          <t>Zrobione</t>
        </is>
      </c>
      <c r="D6" s="93" t="n"/>
    </row>
    <row r="7" ht="23.25" customHeight="1" s="48">
      <c r="A7" s="91" t="n">
        <v>2</v>
      </c>
      <c r="B7" s="71" t="inlineStr">
        <is>
          <t>Dodac Celtow + Germanow = 9 typow (styl, religia, bonus/minus, jednostka specjalna)</t>
        </is>
      </c>
      <c r="C7" s="92" t="inlineStr">
        <is>
          <t>Zrobione</t>
        </is>
      </c>
      <c r="D7" s="93" t="inlineStr">
        <is>
          <t>2026-06-22</t>
        </is>
      </c>
    </row>
    <row r="8" ht="15" customHeight="1" s="48">
      <c r="A8" s="91" t="n">
        <v>3</v>
      </c>
      <c r="B8" s="71" t="inlineStr">
        <is>
          <t>Spec jednostek Celt/Germ (tabela) -&gt; przekazac Civ-UNITS</t>
        </is>
      </c>
      <c r="C8" s="92" t="inlineStr">
        <is>
          <t>Zrobione</t>
        </is>
      </c>
      <c r="D8" s="93" t="inlineStr">
        <is>
          <t>2026-06-22</t>
        </is>
      </c>
    </row>
    <row r="9" ht="15" customHeight="1" s="48">
      <c r="A9" s="91" t="n">
        <v>4</v>
      </c>
      <c r="B9" s="71" t="inlineStr">
        <is>
          <t>Przeglad bonusow 7 istniejacych typow (nie "do dopracowania")</t>
        </is>
      </c>
      <c r="C9" s="92" t="inlineStr">
        <is>
          <t>Zrobione</t>
        </is>
      </c>
      <c r="D9" s="93" t="inlineStr">
        <is>
          <t>2026-06-22</t>
        </is>
      </c>
    </row>
    <row r="10" ht="15" customHeight="1" s="48">
      <c r="A10" s="91" t="n">
        <v>5</v>
      </c>
      <c r="B10" s="71" t="inlineStr">
        <is>
          <t>Re-eksport TYLKO civs.json (celowany skrypt); loader czyta bez bledu</t>
        </is>
      </c>
      <c r="C10" s="92" t="inlineStr">
        <is>
          <t>Zrobione</t>
        </is>
      </c>
      <c r="D10" s="93" t="inlineStr">
        <is>
          <t>2026-06-22</t>
        </is>
      </c>
    </row>
  </sheetData>
  <conditionalFormatting sqref="C6:C10">
    <cfRule type="cellIs" rank="0" priority="2" equalAverage="0" operator="equal" aboveAverage="0" dxfId="17" text="" percent="0" bottom="0">
      <formula>"Zrobione"</formula>
    </cfRule>
    <cfRule type="cellIs" rank="0" priority="3" equalAverage="0" operator="equal" aboveAverage="0" dxfId="18" text="" percent="0" bottom="0">
      <formula>"W toku"</formula>
    </cfRule>
    <cfRule type="cellIs" rank="0" priority="4" equalAverage="0" operator="equal" aboveAverage="0" dxfId="19" text="" percent="0" bottom="0">
      <formula>"Niezrobione"</formula>
    </cfRule>
  </conditionalFormatting>
  <dataValidations count="1">
    <dataValidation sqref="C6:C10" showDropDown="0" showInputMessage="0" showErrorMessage="0" allowBlank="1" type="list" errorStyle="stop" operator="between">
      <formula1>"Niezrobione,W toku,Zrobione"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tabColor rgb="FFD9E1F2"/>
    <outlinePr summaryBelow="1" summaryRight="1"/>
    <pageSetUpPr fitToPage="0"/>
  </sheetPr>
  <dimension ref="A1:D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5" customWidth="1" style="47" min="1" max="1"/>
    <col width="66" customWidth="1" style="47" min="2" max="2"/>
    <col width="14" customWidth="1" style="47" min="3" max="3"/>
    <col width="24" customWidth="1" style="47" min="4" max="4"/>
  </cols>
  <sheetData>
    <row r="1" ht="17.25" customHeight="1" s="48">
      <c r="A1" s="90" t="inlineStr">
        <is>
          <t>ZADANIE: Civ-UI</t>
        </is>
      </c>
    </row>
    <row r="2" ht="15" customHeight="1" s="48">
      <c r="A2" s="50" t="inlineStr">
        <is>
          <t>Domena: src/ui/* (wpiecie do main.ts uzgadnia z Civ-SILNIK)  [TASK DO OTWARCIA]</t>
        </is>
      </c>
    </row>
    <row r="3" ht="15" customHeight="1" s="48">
      <c r="A3" s="50" t="inlineStr">
        <is>
          <t>Po wykonaniu kroku ustaw STATUS = Zrobione (zazieleni sie). Dopisz date/uwage.</t>
        </is>
      </c>
    </row>
    <row r="5" ht="15" customHeight="1" s="48">
      <c r="A5" s="52" t="inlineStr">
        <is>
          <t>#</t>
        </is>
      </c>
      <c r="B5" s="52" t="inlineStr">
        <is>
          <t>Krok</t>
        </is>
      </c>
      <c r="C5" s="52" t="inlineStr">
        <is>
          <t>Status</t>
        </is>
      </c>
      <c r="D5" s="52" t="inlineStr">
        <is>
          <t>Data / uwaga</t>
        </is>
      </c>
    </row>
    <row r="6" ht="15" customHeight="1" s="48">
      <c r="A6" s="112" t="n">
        <v>1</v>
      </c>
      <c r="B6" s="113" t="inlineStr">
        <is>
          <t>Panel miasta: realne plony + kolejka + lista budynkow + przyciski Buduj/Ulepsz</t>
        </is>
      </c>
      <c r="C6" s="114" t="inlineStr">
        <is>
          <t>Zrobione</t>
        </is>
      </c>
      <c r="D6" s="115" t="inlineStr">
        <is>
          <t>Zrobione 2026-06-25; src/ui/cityPanel.ts (pelny ekran + AI read-only); tsc=0; wpiecie=master</t>
        </is>
      </c>
    </row>
    <row r="7" ht="15" customHeight="1" s="48">
      <c r="A7" s="112" t="n">
        <v>2</v>
      </c>
      <c r="B7" s="113" t="inlineStr">
        <is>
          <t>Licznik bilansu zasobow co ture (panel "Bilans")</t>
        </is>
      </c>
      <c r="C7" s="114" t="inlineStr">
        <is>
          <t>Zrobione</t>
        </is>
      </c>
      <c r="D7" s="115" t="inlineStr">
        <is>
          <t>Zrobione 2026-06-25; src/ui/empireBalance.ts; tsc=0; wpiecie=master</t>
        </is>
      </c>
    </row>
    <row r="8" ht="15" customHeight="1" s="48">
      <c r="A8" s="112" t="n">
        <v>3</v>
      </c>
      <c r="B8" s="113" t="inlineStr">
        <is>
          <t>HUD w grze: pasek zasobow + minimapa + panele 1-12</t>
        </is>
      </c>
      <c r="C8" s="114" t="inlineStr">
        <is>
          <t>Zrobione</t>
        </is>
      </c>
      <c r="D8" s="115" t="inlineStr">
        <is>
          <t>Zrobione 2026-06-25; src/ui/hud.ts (minimapa=placeholder, render=MAPA); tsc=0; wpiecie=master</t>
        </is>
      </c>
    </row>
    <row r="9" ht="15" customHeight="1" s="48">
      <c r="A9" s="112" t="n">
        <v>4</v>
      </c>
      <c r="B9" s="113" t="inlineStr">
        <is>
          <t>Menu glowne + ustawienia</t>
        </is>
      </c>
      <c r="C9" s="114" t="inlineStr">
        <is>
          <t>Zrobione</t>
        </is>
      </c>
      <c r="D9" s="115" t="inlineStr">
        <is>
          <t>Zrobione 2026-06-25; src/ui/mainMenu.ts; tsc=0; wpiecie=master</t>
        </is>
      </c>
    </row>
    <row r="10" ht="15" customHeight="1" s="48">
      <c r="A10" s="112" t="n">
        <v>5</v>
      </c>
      <c r="B10" s="113" t="inlineStr">
        <is>
          <t>Ekran nowej gry (flow startu) -- UI czesc</t>
        </is>
      </c>
      <c r="C10" s="114" t="inlineStr">
        <is>
          <t>Zrobione</t>
        </is>
      </c>
      <c r="D10" s="115" t="inlineStr">
        <is>
          <t>Zrobione 2026-06-25; src/ui/newGameFlow.ts (cyw z civs.json; ustawienia z ui-params nowa_gra); tsc=0</t>
        </is>
      </c>
    </row>
    <row r="11" ht="15" customHeight="1" s="48">
      <c r="A11" s="112" t="n">
        <v>6</v>
      </c>
      <c r="B11" s="113" t="inlineStr">
        <is>
          <t>Panel Zadowolenia/Porzadku (progi T1/T2, bunt)</t>
        </is>
      </c>
      <c r="C11" s="114" t="inlineStr">
        <is>
          <t>Zrobione</t>
        </is>
      </c>
      <c r="D11" s="115" t="inlineStr">
        <is>
          <t>Zrobione 2026-06-25; src/ui/orderPanel.ts (progi T1/T2, bunt; hak getOrderState od MIASTO); tsc=0</t>
        </is>
      </c>
    </row>
  </sheetData>
  <conditionalFormatting sqref="C6:C11">
    <cfRule type="cellIs" rank="0" priority="2" equalAverage="0" operator="equal" aboveAverage="0" dxfId="17" text="" percent="0" bottom="0">
      <formula>"Zrobione"</formula>
    </cfRule>
    <cfRule type="cellIs" rank="0" priority="3" equalAverage="0" operator="equal" aboveAverage="0" dxfId="18" text="" percent="0" bottom="0">
      <formula>"W toku"</formula>
    </cfRule>
    <cfRule type="cellIs" rank="0" priority="4" equalAverage="0" operator="equal" aboveAverage="0" dxfId="19" text="" percent="0" bottom="0">
      <formula>"Niezrobione"</formula>
    </cfRule>
  </conditionalFormatting>
  <dataValidations count="1">
    <dataValidation sqref="C6:C11" showDropDown="0" showInputMessage="0" showErrorMessage="0" allowBlank="1" type="list" errorStyle="stop" operator="between">
      <formula1>"Niezrobione,W toku,Zrobione"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style="48" min="1" max="1"/>
    <col width="20" customWidth="1" style="48" min="2" max="2"/>
    <col width="24" customWidth="1" style="48" min="3" max="3"/>
    <col width="42" customWidth="1" style="48" min="4" max="4"/>
    <col width="26" customWidth="1" style="48" min="5" max="5"/>
    <col width="16" customWidth="1" style="48" min="6" max="6"/>
  </cols>
  <sheetData>
    <row r="1">
      <c r="A1" s="94" t="inlineStr">
        <is>
          <t>SILNIK — MAPA INTEGRACJI: co z czym pospiac, zeby gra grala razem</t>
        </is>
      </c>
    </row>
    <row r="2">
      <c r="A2" s="95" t="inlineStr">
        <is>
          <t>Petla tury = handler 'N' w main.ts. Kanon: Civ/Gra-podglad.html. Wlasciciel: MASTER. Legenda: WPIETE / W TOKU / CZEKA.</t>
        </is>
      </c>
    </row>
    <row r="4">
      <c r="A4" s="96" t="inlineStr">
        <is>
          <t>Element</t>
        </is>
      </c>
      <c r="B4" s="96" t="inlineStr">
        <is>
          <t>Zrodlo (dzial)</t>
        </is>
      </c>
      <c r="C4" s="96" t="inlineStr">
        <is>
          <t>Stan modulu</t>
        </is>
      </c>
      <c r="D4" s="96" t="inlineStr">
        <is>
          <t>Zaleznosci / co wpiac</t>
        </is>
      </c>
      <c r="E4" s="96" t="inlineStr">
        <is>
          <t>Status wpiecia</t>
        </is>
      </c>
      <c r="F4" s="96" t="inlineStr">
        <is>
          <t>Krok/Prio</t>
        </is>
      </c>
    </row>
    <row r="5">
      <c r="A5" s="97" t="inlineStr">
        <is>
          <t>Ekonomia miasta (turn-economy)</t>
        </is>
      </c>
      <c r="B5" s="97" t="inlineStr">
        <is>
          <t>EKONOMIA</t>
        </is>
      </c>
      <c r="C5" s="97" t="inlineStr">
        <is>
          <t>gotowe</t>
        </is>
      </c>
      <c r="D5" s="97" t="inlineStr">
        <is>
          <t>plony/wzrost/produkcja per miasto</t>
        </is>
      </c>
      <c r="E5" s="98" t="inlineStr">
        <is>
          <t>WPIETE</t>
        </is>
      </c>
      <c r="F5" s="97" t="inlineStr">
        <is>
          <t>-</t>
        </is>
      </c>
    </row>
    <row r="6">
      <c r="A6" s="97" t="inlineStr">
        <is>
          <t>Skarbiec + nauka + auto-badania</t>
        </is>
      </c>
      <c r="B6" s="97" t="inlineStr">
        <is>
          <t>EKONOMIA/playerState</t>
        </is>
      </c>
      <c r="C6" s="97" t="inlineStr">
        <is>
          <t>gotowe</t>
        </is>
      </c>
      <c r="D6" s="97" t="inlineStr">
        <is>
          <t>bankowanie co ture</t>
        </is>
      </c>
      <c r="E6" s="98" t="inlineStr">
        <is>
          <t>WPIETE</t>
        </is>
      </c>
      <c r="F6" s="97" t="inlineStr">
        <is>
          <t>-</t>
        </is>
      </c>
    </row>
    <row r="7">
      <c r="A7" s="97" t="inlineStr">
        <is>
          <t>Produkcja (production.ts)</t>
        </is>
      </c>
      <c r="B7" s="97" t="inlineStr">
        <is>
          <t>MIASTO</t>
        </is>
      </c>
      <c r="C7" s="97" t="inlineStr">
        <is>
          <t>gotowe 163/163</t>
        </is>
      </c>
      <c r="D7" s="97" t="inlineStr">
        <is>
          <t>praca x productionMult; completed-&gt;budynek/jednostka(-1 ludn.)</t>
        </is>
      </c>
      <c r="E7" s="98" t="inlineStr">
        <is>
          <t>WPIETE (24.06)</t>
        </is>
      </c>
      <c r="F7" s="97" t="inlineStr">
        <is>
          <t>-</t>
        </is>
      </c>
    </row>
    <row r="8">
      <c r="A8" s="97" t="inlineStr">
        <is>
          <t>Porzadek (order.ts)</t>
        </is>
      </c>
      <c r="B8" s="97" t="inlineStr">
        <is>
          <t>MIASTO</t>
        </is>
      </c>
      <c r="C8" s="97" t="inlineStr">
        <is>
          <t>gotowe</t>
        </is>
      </c>
      <c r="D8" s="97" t="inlineStr">
        <is>
          <t>societyParams; productionMult/tradeMult/revoltRisk</t>
        </is>
      </c>
      <c r="E8" s="98" t="inlineStr">
        <is>
          <t>WPIETE (24.06)</t>
        </is>
      </c>
      <c r="F8" s="97" t="inlineStr">
        <is>
          <t>-</t>
        </is>
      </c>
    </row>
    <row r="9">
      <c r="A9" s="97" t="inlineStr">
        <is>
          <t>Kultura + Religia (culture-religion)</t>
        </is>
      </c>
      <c r="B9" s="97" t="inlineStr">
        <is>
          <t>MIASTO</t>
        </is>
      </c>
      <c r="C9" s="97" t="inlineStr">
        <is>
          <t>gotowe</t>
        </is>
      </c>
      <c r="D9" s="97" t="inlineStr">
        <is>
          <t>civs; granice+szczescie; spreadReligion=etap2</t>
        </is>
      </c>
      <c r="E9" s="98" t="inlineStr">
        <is>
          <t>WPIETE (24.06)</t>
        </is>
      </c>
      <c r="F9" s="97" t="inlineStr">
        <is>
          <t>etap2 TODO</t>
        </is>
      </c>
    </row>
    <row r="10">
      <c r="A10" s="97" t="inlineStr">
        <is>
          <t>Utrzymanie+magazyny (-&gt;economy-upkeep)</t>
        </is>
      </c>
      <c r="B10" s="97" t="inlineStr">
        <is>
          <t>EKONOMIA</t>
        </is>
      </c>
      <c r="C10" s="97" t="inlineStr">
        <is>
          <t>gotowe 51/51</t>
        </is>
      </c>
      <c r="D10" s="97" t="inlineStr">
        <is>
          <t>turn-economy; rename economy-upkeep; usun player-economy</t>
        </is>
      </c>
      <c r="E10" s="99" t="inlineStr">
        <is>
          <t>W TOKU</t>
        </is>
      </c>
      <c r="F10" s="97" t="inlineStr">
        <is>
          <t>plaster EKONOMIA</t>
        </is>
      </c>
    </row>
    <row r="11">
      <c r="A11" s="97" t="inlineStr">
        <is>
          <t>Konwertery surowcow (converters.ts)</t>
        </is>
      </c>
      <c r="B11" s="97" t="inlineStr">
        <is>
          <t>EKONOMIA</t>
        </is>
      </c>
      <c r="C11" s="97" t="inlineStr">
        <is>
          <t>gotowe 30/30</t>
        </is>
      </c>
      <c r="D11" s="97" t="inlineStr">
        <is>
          <t>econ-params (przepustowosc budynkow)</t>
        </is>
      </c>
      <c r="E11" s="99" t="inlineStr">
        <is>
          <t>W TOKU</t>
        </is>
      </c>
      <c r="F11" s="97" t="inlineStr">
        <is>
          <t>plaster EKONOMIA</t>
        </is>
      </c>
    </row>
    <row r="12">
      <c r="A12" s="97" t="inlineStr">
        <is>
          <t>Podatek + WEALTH (system)</t>
        </is>
      </c>
      <c r="B12" s="97" t="inlineStr">
        <is>
          <t>EKONOMIA+MIASTO+epoki</t>
        </is>
      </c>
      <c r="C12" s="97" t="inlineStr">
        <is>
          <t>zalozenia do przygot.</t>
        </is>
      </c>
      <c r="D12" s="97" t="inlineStr">
        <is>
          <t>pieniadz miasta; zadowolenie; cap per epoka 10..100</t>
        </is>
      </c>
      <c r="E12" s="100" t="inlineStr">
        <is>
          <t>CZEKA decyzji Maciej</t>
        </is>
      </c>
      <c r="F12" s="97" t="inlineStr">
        <is>
          <t>po decyzji</t>
        </is>
      </c>
    </row>
    <row r="13">
      <c r="A13" s="97" t="inlineStr">
        <is>
          <t>Dyplomacja tick (diplomacy.ts)</t>
        </is>
      </c>
      <c r="B13" s="97" t="inlineStr">
        <is>
          <t>CYWILIZACJE</t>
        </is>
      </c>
      <c r="C13" s="97" t="inlineStr">
        <is>
          <t>gotowe 90/90; re-analiza turniejem</t>
        </is>
      </c>
      <c r="D13" s="97" t="inlineStr">
        <is>
          <t>diplomacy.json params; Respekt z DANE/Profil</t>
        </is>
      </c>
      <c r="E13" s="99" t="inlineStr">
        <is>
          <t>W TOKU (po re-analizie)</t>
        </is>
      </c>
      <c r="F13" s="97" t="inlineStr">
        <is>
          <t>KROK 5</t>
        </is>
      </c>
    </row>
    <row r="14">
      <c r="A14" s="97" t="inlineStr">
        <is>
          <t>Dane per-cyw (roster/AI/Dyplo/param) — 1 Excel</t>
        </is>
      </c>
      <c r="B14" s="97" t="inlineStr">
        <is>
          <t>CYWILIZACJE</t>
        </is>
      </c>
      <c r="C14" s="97" t="inlineStr">
        <is>
          <t>do zrobienia</t>
        </is>
      </c>
      <c r="D14" s="97" t="inlineStr">
        <is>
          <t>Cywilizacje.xlsx 4 arkusze -&gt; civs/civ-ai/diplomacy/civ-params.json</t>
        </is>
      </c>
      <c r="E14" s="100" t="inlineStr">
        <is>
          <t>CZEKA DANE</t>
        </is>
      </c>
      <c r="F14" s="97" t="inlineStr">
        <is>
          <t>wejscie dla AI+Dypl</t>
        </is>
      </c>
    </row>
    <row r="15">
      <c r="A15" s="97" t="inlineStr">
        <is>
          <t>society-params religie 7-&gt;9</t>
        </is>
      </c>
      <c r="B15" s="97" t="inlineStr">
        <is>
          <t>CYWILIZACJE -&gt; ja</t>
        </is>
      </c>
      <c r="C15" s="97" t="inlineStr">
        <is>
          <t>flaga</t>
        </is>
      </c>
      <c r="D15" s="97" t="inlineStr">
        <is>
          <t>re-eksport society-params.json</t>
        </is>
      </c>
      <c r="E15" s="99" t="inlineStr">
        <is>
          <t>W TOKU (moj re-eksport)</t>
        </is>
      </c>
      <c r="F15" s="97" t="inlineStr">
        <is>
          <t>drobne</t>
        </is>
      </c>
    </row>
    <row r="16">
      <c r="A16" s="97" t="inlineStr">
        <is>
          <t>AI rywala (decideAITurn)</t>
        </is>
      </c>
      <c r="B16" s="97" t="inlineStr">
        <is>
          <t>CYWILIZACJE</t>
        </is>
      </c>
      <c r="C16" s="97" t="inlineStr">
        <is>
          <t>ai.ts gotowy NIEwpiety; dzial PUSTY</t>
        </is>
      </c>
      <c r="D16" s="97" t="inlineStr">
        <is>
          <t>Profil AI (DANE); mapa; wykonac AICommand[]</t>
        </is>
      </c>
      <c r="E16" s="100" t="inlineStr">
        <is>
          <t>CZEKA AI + wpiecie</t>
        </is>
      </c>
      <c r="F16" s="97" t="inlineStr">
        <is>
          <t>KROK 3</t>
        </is>
      </c>
    </row>
    <row r="17">
      <c r="A17" s="97" t="inlineStr">
        <is>
          <t>Barbarzyncy (barbarians.ts)</t>
        </is>
      </c>
      <c r="B17" s="97" t="inlineStr">
        <is>
          <t>CYWILIZACJE</t>
        </is>
      </c>
      <c r="C17" s="97" t="inlineStr">
        <is>
          <t>ISTNIEJE (561 lin), niewpiety</t>
        </is>
      </c>
      <c r="D17" s="97" t="inlineStr">
        <is>
          <t>mapa; spawn; agresja</t>
        </is>
      </c>
      <c r="E17" s="99" t="inlineStr">
        <is>
          <t>W TOKU (wpiecie)</t>
        </is>
      </c>
      <c r="F17" s="97" t="inlineStr">
        <is>
          <t>KROK 3</t>
        </is>
      </c>
    </row>
    <row r="18">
      <c r="A18" s="97" t="inlineStr">
        <is>
          <t>Zwyciestwo (victory.ts)</t>
        </is>
      </c>
      <c r="B18" s="97" t="inlineStr">
        <is>
          <t>CYWILIZACJE</t>
        </is>
      </c>
      <c r="C18" s="97" t="inlineStr">
        <is>
          <t>gotowe NIEwpiete</t>
        </is>
      </c>
      <c r="D18" s="97" t="inlineStr">
        <is>
          <t>AI; dominacja typu + statek kosm.</t>
        </is>
      </c>
      <c r="E18" s="99" t="inlineStr">
        <is>
          <t>W TOKU (wpiecie)</t>
        </is>
      </c>
      <c r="F18" s="97" t="inlineStr">
        <is>
          <t>KROK 3</t>
        </is>
      </c>
    </row>
    <row r="19">
      <c r="A19" s="97" t="inlineStr">
        <is>
          <t>Walka z mapy + oblezenie (siege.ts)</t>
        </is>
      </c>
      <c r="B19" s="97" t="inlineStr">
        <is>
          <t>UNITS/SILNIK</t>
        </is>
      </c>
      <c r="C19" s="97" t="inlineStr">
        <is>
          <t>combat OK; siege niewpiety</t>
        </is>
      </c>
      <c r="D19" s="97" t="inlineStr">
        <is>
          <t>atak-&gt;preBattle-&gt;wynik na mape</t>
        </is>
      </c>
      <c r="E19" s="99" t="inlineStr">
        <is>
          <t>W TOKU (wpiecie)</t>
        </is>
      </c>
      <c r="F19" s="97" t="inlineStr">
        <is>
          <t>KROK 4</t>
        </is>
      </c>
    </row>
    <row r="20">
      <c r="A20" s="97" t="inlineStr">
        <is>
          <t>Bitwa -&gt; KANON (scalenie)</t>
        </is>
      </c>
      <c r="B20" s="97" t="inlineStr">
        <is>
          <t>UNITS</t>
        </is>
      </c>
      <c r="C20" s="97" t="inlineStr">
        <is>
          <t>osobny HTML (Gra-podglad-BITWA)</t>
        </is>
      </c>
      <c r="D20" s="97" t="inlineStr">
        <is>
          <t>battleScene merge; paski 2/3 + obwodki</t>
        </is>
      </c>
      <c r="E20" s="99" t="inlineStr">
        <is>
          <t>W TOKU (10A; czeka handoff UNITS)</t>
        </is>
      </c>
      <c r="F20" s="97" t="inlineStr">
        <is>
          <t>KROK 4</t>
        </is>
      </c>
    </row>
    <row r="21">
      <c r="A21" s="97" t="inlineStr">
        <is>
          <t>Render miast braz/kamien + surowce</t>
        </is>
      </c>
      <c r="B21" s="97" t="inlineStr">
        <is>
          <t>MAPA</t>
        </is>
      </c>
      <c r="C21" s="97" t="inlineStr">
        <is>
          <t>buildery gotowe</t>
        </is>
      </c>
      <c r="D21" s="97" t="inlineStr">
        <is>
          <t>CityRenderer swap -&gt; buildStone/BronzeCity; hex.nakladka</t>
        </is>
      </c>
      <c r="E21" s="99" t="inlineStr">
        <is>
          <t>W TOKU (wpiecie renderu)</t>
        </is>
      </c>
      <c r="F21" s="97" t="inlineStr">
        <is>
          <t>render</t>
        </is>
      </c>
    </row>
    <row r="22">
      <c r="A22" s="97" t="inlineStr">
        <is>
          <t>Panel miasta (hooki) + read-only miast AI</t>
        </is>
      </c>
      <c r="B22" s="97" t="inlineStr">
        <is>
          <t>UI</t>
        </is>
      </c>
      <c r="C22" s="97" t="inlineStr">
        <is>
          <t>cityPanel gotowy; configure czesciowo</t>
        </is>
      </c>
      <c r="D22" s="97" t="inlineStr">
        <is>
          <t>getProduction/setProduction/epoch; ownerId!=0 -&gt; ukryj akcje</t>
        </is>
      </c>
      <c r="E22" s="99" t="inlineStr">
        <is>
          <t>W TOKU (dopiac)</t>
        </is>
      </c>
      <c r="F22" s="97" t="inlineStr">
        <is>
          <t>UI</t>
        </is>
      </c>
    </row>
    <row r="23">
      <c r="A23" s="97" t="inlineStr">
        <is>
          <t>Save / Load (save.ts)</t>
        </is>
      </c>
      <c r="B23" s="97" t="inlineStr">
        <is>
          <t>SILNIK</t>
        </is>
      </c>
      <c r="C23" s="97" t="inlineStr">
        <is>
          <t>niewpiety</t>
        </is>
      </c>
      <c r="D23" s="97" t="inlineStr">
        <is>
          <t>serializeGame; sloty; zdarzeniowo</t>
        </is>
      </c>
      <c r="E23" s="100" t="inlineStr">
        <is>
          <t>CZEKA</t>
        </is>
      </c>
      <c r="F23" s="97" t="inlineStr">
        <is>
          <t>KROK 6</t>
        </is>
      </c>
    </row>
    <row r="24">
      <c r="A24" s="97" t="inlineStr">
        <is>
          <t>Nowa gra (newGameFlow)</t>
        </is>
      </c>
      <c r="B24" s="97" t="inlineStr">
        <is>
          <t>UI/SILNIK</t>
        </is>
      </c>
      <c r="C24" s="97" t="inlineStr">
        <is>
          <t>w toku</t>
        </is>
      </c>
      <c r="D24" s="97" t="inlineStr">
        <is>
          <t>menu; lista civs; param startu -&gt; silnik</t>
        </is>
      </c>
      <c r="E24" s="100" t="inlineStr">
        <is>
          <t>CZEKA</t>
        </is>
      </c>
      <c r="F24" s="97" t="inlineStr">
        <is>
          <t>KROK 7</t>
        </is>
      </c>
    </row>
    <row r="25">
      <c r="A25" s="97" t="inlineStr">
        <is>
          <t>Higiena: usun orphany</t>
        </is>
      </c>
      <c r="B25" s="97" t="inlineStr">
        <is>
          <t>SILNIK (ja)</t>
        </is>
      </c>
      <c r="C25" s="97" t="inlineStr">
        <is>
          <t>-</t>
        </is>
      </c>
      <c r="D25" s="97" t="inlineStr">
        <is>
          <t>player-economy.ts, research.ts (nikt nie importuje)</t>
        </is>
      </c>
      <c r="E25" s="99" t="inlineStr">
        <is>
          <t>W TOKU</t>
        </is>
      </c>
      <c r="F25" s="97" t="inlineStr">
        <is>
          <t>KROK 8</t>
        </is>
      </c>
    </row>
    <row r="26">
      <c r="A26" s="97" t="inlineStr">
        <is>
          <t>Spawn klastrow (90 miast / typ x10)</t>
        </is>
      </c>
      <c r="B26" s="97" t="inlineStr">
        <is>
          <t>MAPA/AI/SILNIK</t>
        </is>
      </c>
      <c r="C26" s="97" t="inlineStr">
        <is>
          <t>niezrobione</t>
        </is>
      </c>
      <c r="D26" s="97" t="inlineStr">
        <is>
          <t>map-gen; Profil; min ~9 pol miedzy</t>
        </is>
      </c>
      <c r="E26" s="100" t="inlineStr">
        <is>
          <t>CZEKA (pozniej)</t>
        </is>
      </c>
      <c r="F26" s="97" t="inlineStr">
        <is>
          <t>map-gen</t>
        </is>
      </c>
    </row>
    <row r="27">
      <c r="A27" s="101" t="inlineStr">
        <is>
          <t>Ulepszenia terenu (hybryda C)</t>
        </is>
      </c>
      <c r="B27" s="101" t="inlineStr">
        <is>
          <t>MAPA(lead)+MIASTO(koszt+granice)</t>
        </is>
      </c>
      <c r="C27" s="101" t="inlineStr">
        <is>
          <t>decyzja podjeta, moduly do zrobienia</t>
        </is>
      </c>
      <c r="D27" s="101" t="inlineStr">
        <is>
          <t>placement z mapy; stan na heksie; drogi segmentowo; ograniczone do granic miasta; praca z produkcji miasta</t>
        </is>
      </c>
      <c r="E27" s="102" t="inlineStr">
        <is>
          <t>CZEKA (po modulach)</t>
        </is>
      </c>
      <c r="F27" s="101" t="inlineStr">
        <is>
          <t>wpiecie silnik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style="48" min="1" max="1"/>
    <col width="40" customWidth="1" style="48" min="2" max="2"/>
    <col width="10" customWidth="1" style="48" min="3" max="3"/>
    <col width="46" customWidth="1" style="48" min="4" max="4"/>
    <col width="22" customWidth="1" style="48" min="5" max="5"/>
    <col width="14" customWidth="1" style="48" min="6" max="6"/>
  </cols>
  <sheetData>
    <row r="1">
      <c r="A1" s="103" t="inlineStr">
        <is>
          <t>PROPOZYCJE z poradnika Civilization 7 (analiza 6 subagentow) — DO ROZWAZENIA, zero implementacji</t>
        </is>
      </c>
    </row>
    <row r="3">
      <c r="A3" s="104" t="inlineStr">
        <is>
          <t>Temat</t>
        </is>
      </c>
      <c r="B3" s="104" t="inlineStr">
        <is>
          <t>Element (mechanika Civ7)</t>
        </is>
      </c>
      <c r="C3" s="104" t="inlineStr">
        <is>
          <t>Bierzemy?</t>
        </is>
      </c>
      <c r="D3" s="104" t="inlineStr">
        <is>
          <t>Jak u nas (zarys)</t>
        </is>
      </c>
      <c r="E3" s="104" t="inlineStr">
        <is>
          <t>Dzial</t>
        </is>
      </c>
      <c r="F3" s="104" t="inlineStr">
        <is>
          <t>Prio</t>
        </is>
      </c>
    </row>
    <row r="4">
      <c r="A4" s="97" t="inlineStr">
        <is>
          <t>Miasta</t>
        </is>
      </c>
      <c r="B4" s="97" t="inlineStr">
        <is>
          <t>Dzielnice (budynki na heksach)</t>
        </is>
      </c>
      <c r="C4" s="109" t="inlineStr">
        <is>
          <t>Nie</t>
        </is>
      </c>
      <c r="D4" s="97" t="inlineStr">
        <is>
          <t>budynki zostaja lista w miescie</t>
        </is>
      </c>
      <c r="E4" s="97" t="inlineStr">
        <is>
          <t>-</t>
        </is>
      </c>
      <c r="F4" s="97" t="inlineStr">
        <is>
          <t>-</t>
        </is>
      </c>
    </row>
    <row r="5">
      <c r="A5" s="97" t="inlineStr">
        <is>
          <t>Miasta</t>
        </is>
      </c>
      <c r="B5" s="97" t="inlineStr">
        <is>
          <t>Specjalisci (obsada budynkow)</t>
        </is>
      </c>
      <c r="C5" s="110" t="inlineStr">
        <is>
          <t>Moze</t>
        </is>
      </c>
      <c r="D5" s="97" t="inlineStr">
        <is>
          <t>v0.2: budynek 'wymaga_ludzi' -&gt; wiekszy bonus</t>
        </is>
      </c>
      <c r="E5" s="97" t="inlineStr">
        <is>
          <t>MIASTO</t>
        </is>
      </c>
      <c r="F5" s="97" t="inlineStr">
        <is>
          <t>niski</t>
        </is>
      </c>
    </row>
    <row r="6">
      <c r="A6" s="97" t="inlineStr">
        <is>
          <t>Miasta</t>
        </is>
      </c>
      <c r="B6" s="97" t="inlineStr">
        <is>
          <t>Unikalne ulepszenie per cywilizacja</t>
        </is>
      </c>
      <c r="C6" s="111" t="inlineStr">
        <is>
          <t>Tak</t>
        </is>
      </c>
      <c r="D6" s="97" t="inlineStr">
        <is>
          <t>1 unikalne ulepszenie/typ w civs.json</t>
        </is>
      </c>
      <c r="E6" s="97" t="inlineStr">
        <is>
          <t>CYWILIZACJE+MAPA</t>
        </is>
      </c>
      <c r="F6" s="97" t="inlineStr">
        <is>
          <t>sredni</t>
        </is>
      </c>
    </row>
    <row r="7">
      <c r="A7" s="97" t="inlineStr">
        <is>
          <t>Miasta</t>
        </is>
      </c>
      <c r="B7" s="97" t="inlineStr">
        <is>
          <t>Obrabiane pola (populacja-&gt;aktywne pola)</t>
        </is>
      </c>
      <c r="C7" s="111" t="inlineStr">
        <is>
          <t>Tak</t>
        </is>
      </c>
      <c r="D7" s="97" t="inlineStr">
        <is>
          <t>N ludnosci = N najlepszych pol z okolicy (5)</t>
        </is>
      </c>
      <c r="E7" s="97" t="inlineStr">
        <is>
          <t>MIASTO</t>
        </is>
      </c>
      <c r="F7" s="97" t="inlineStr">
        <is>
          <t>WYSOKI</t>
        </is>
      </c>
    </row>
    <row r="8">
      <c r="A8" s="97" t="inlineStr">
        <is>
          <t>Miasta</t>
        </is>
      </c>
      <c r="B8" s="97" t="inlineStr">
        <is>
          <t>Limit miast jako kara Porzadku</t>
        </is>
      </c>
      <c r="C8" s="111" t="inlineStr">
        <is>
          <t>Tak</t>
        </is>
      </c>
      <c r="D8" s="97" t="inlineStr">
        <is>
          <t>miasto &gt;3 obniza Porzadek; bez twardego bloku</t>
        </is>
      </c>
      <c r="E8" s="97" t="inlineStr">
        <is>
          <t>MIASTO+EKONOMIA</t>
        </is>
      </c>
      <c r="F8" s="97" t="inlineStr">
        <is>
          <t>sredni</t>
        </is>
      </c>
    </row>
    <row r="9">
      <c r="A9" s="97" t="inlineStr">
        <is>
          <t>Miasta</t>
        </is>
      </c>
      <c r="B9" s="97" t="inlineStr">
        <is>
          <t>Migranci (jednostka populacji)</t>
        </is>
      </c>
      <c r="C9" s="109" t="inlineStr">
        <is>
          <t>Nie</t>
        </is>
      </c>
      <c r="D9" s="97" t="inlineStr">
        <is>
          <t>Osadnik/eventy wystarcza</t>
        </is>
      </c>
      <c r="E9" s="97" t="inlineStr">
        <is>
          <t>-</t>
        </is>
      </c>
      <c r="F9" s="97" t="inlineStr">
        <is>
          <t>-</t>
        </is>
      </c>
    </row>
    <row r="10">
      <c r="A10" s="97" t="inlineStr">
        <is>
          <t>Miasta</t>
        </is>
      </c>
      <c r="B10" s="97" t="inlineStr">
        <is>
          <t>Bonus nadbrzezny (Przystan)</t>
        </is>
      </c>
      <c r="C10" s="111" t="inlineStr">
        <is>
          <t>Tak</t>
        </is>
      </c>
      <c r="D10" s="97" t="inlineStr">
        <is>
          <t>ulepszenie na Wybrzezu: +zywnosc -&gt; szybszy wzrost</t>
        </is>
      </c>
      <c r="E10" s="97" t="inlineStr">
        <is>
          <t>MAPA+MIASTO</t>
        </is>
      </c>
      <c r="F10" s="97" t="inlineStr">
        <is>
          <t>niski</t>
        </is>
      </c>
    </row>
    <row r="11">
      <c r="A11" s="97" t="inlineStr">
        <is>
          <t>Wojna</t>
        </is>
      </c>
      <c r="B11" s="97" t="inlineStr">
        <is>
          <t>Dowodcy wojskowi (general+aura morale+XP)</t>
        </is>
      </c>
      <c r="C11" s="111" t="inlineStr">
        <is>
          <t>Tak</t>
        </is>
      </c>
      <c r="D11" s="97" t="inlineStr">
        <is>
          <t>general: aura morale w promieniu, XP miedzy epokami, zabicie=zalamanie</t>
        </is>
      </c>
      <c r="E11" s="97" t="inlineStr">
        <is>
          <t>UNITS</t>
        </is>
      </c>
      <c r="F11" s="97" t="inlineStr">
        <is>
          <t>WYSOKI</t>
        </is>
      </c>
    </row>
    <row r="12">
      <c r="A12" s="97" t="inlineStr">
        <is>
          <t>Wojna</t>
        </is>
      </c>
      <c r="B12" s="97" t="inlineStr">
        <is>
          <t>Zawieszenie wojen przy zmianie epoki</t>
        </is>
      </c>
      <c r="C12" s="110" t="inlineStr">
        <is>
          <t>Moze</t>
        </is>
      </c>
      <c r="D12" s="97" t="inlineStr">
        <is>
          <t>twarde zawieszenie broni zamiast kasowania</t>
        </is>
      </c>
      <c r="E12" s="97" t="inlineStr">
        <is>
          <t>CYWILIZACJE</t>
        </is>
      </c>
      <c r="F12" s="97" t="inlineStr">
        <is>
          <t>niski</t>
        </is>
      </c>
    </row>
    <row r="13">
      <c r="A13" s="97" t="inlineStr">
        <is>
          <t>Wojna</t>
        </is>
      </c>
      <c r="B13" s="97" t="inlineStr">
        <is>
          <t>Leczenie jednostek</t>
        </is>
      </c>
      <c r="C13" s="111" t="inlineStr">
        <is>
          <t>Tak</t>
        </is>
      </c>
      <c r="D13" s="97" t="inlineStr">
        <is>
          <t>regeneracja HP poza walka; osobno HP vs morale</t>
        </is>
      </c>
      <c r="E13" s="97" t="inlineStr">
        <is>
          <t>UNITS</t>
        </is>
      </c>
      <c r="F13" s="97" t="inlineStr">
        <is>
          <t>sredni</t>
        </is>
      </c>
    </row>
    <row r="14">
      <c r="A14" s="97" t="inlineStr">
        <is>
          <t>Wojna</t>
        </is>
      </c>
      <c r="B14" s="97" t="inlineStr">
        <is>
          <t>Obozy barbarzyncow (XP farming)</t>
        </is>
      </c>
      <c r="C14" s="109" t="inlineStr">
        <is>
          <t>Nie</t>
        </is>
      </c>
      <c r="D14" s="97" t="inlineStr">
        <is>
          <t>nie pasuje do rownorzednych rywali</t>
        </is>
      </c>
      <c r="E14" s="97" t="inlineStr">
        <is>
          <t>-</t>
        </is>
      </c>
      <c r="F14" s="97" t="inlineStr">
        <is>
          <t>-</t>
        </is>
      </c>
    </row>
    <row r="15">
      <c r="A15" s="97" t="inlineStr">
        <is>
          <t>Dyplomacja</t>
        </is>
      </c>
      <c r="B15" s="97" t="inlineStr">
        <is>
          <t>Sily niezalezne (niezalezne osady)</t>
        </is>
      </c>
      <c r="C15" s="111" t="inlineStr">
        <is>
          <t>Tak</t>
        </is>
      </c>
      <c r="D15" s="97" t="inlineStr">
        <is>
          <t>male osady na mapie; wypelniaja swiat</t>
        </is>
      </c>
      <c r="E15" s="97" t="inlineStr">
        <is>
          <t>CYWILIZACJE+MAPA</t>
        </is>
      </c>
      <c r="F15" s="97" t="inlineStr">
        <is>
          <t>sredni</t>
        </is>
      </c>
    </row>
    <row r="16">
      <c r="A16" s="97" t="inlineStr">
        <is>
          <t>Dyplomacja</t>
        </is>
      </c>
      <c r="B16" s="97" t="inlineStr">
        <is>
          <t>Podboj niezaleznej osady</t>
        </is>
      </c>
      <c r="C16" s="111" t="inlineStr">
        <is>
          <t>Tak</t>
        </is>
      </c>
      <c r="D16" s="97" t="inlineStr">
        <is>
          <t>ten sam kod co przejecie miasta rywala</t>
        </is>
      </c>
      <c r="E16" s="97" t="inlineStr">
        <is>
          <t>Silnik+CYWILIZACJE</t>
        </is>
      </c>
      <c r="F16" s="97" t="inlineStr">
        <is>
          <t>niski</t>
        </is>
      </c>
    </row>
    <row r="17">
      <c r="A17" s="97" t="inlineStr">
        <is>
          <t>Dyplomacja</t>
        </is>
      </c>
      <c r="B17" s="97" t="inlineStr">
        <is>
          <t>Progi Wplywow (Sojusznik/Protektorat/Lennik)</t>
        </is>
      </c>
      <c r="C17" s="111" t="inlineStr">
        <is>
          <t>Tak</t>
        </is>
      </c>
      <c r="D17" s="97" t="inlineStr">
        <is>
          <t>3 progi -&gt; bonusy/unikalne ulepszenia</t>
        </is>
      </c>
      <c r="E17" s="97" t="inlineStr">
        <is>
          <t>CYWILIZACJE</t>
        </is>
      </c>
      <c r="F17" s="97" t="inlineStr">
        <is>
          <t>sredni</t>
        </is>
      </c>
    </row>
    <row r="18">
      <c r="A18" s="97" t="inlineStr">
        <is>
          <t>Dyplomacja</t>
        </is>
      </c>
      <c r="B18" s="97" t="inlineStr">
        <is>
          <t>Waluta WPLYWY (3. pasek skarbca)</t>
        </is>
      </c>
      <c r="C18" s="111" t="inlineStr">
        <is>
          <t>Tak</t>
        </is>
      </c>
      <c r="D18" s="97" t="inlineStr">
        <is>
          <t>obok Pieniadz i Praca; na dyplomacje/osady</t>
        </is>
      </c>
      <c r="E18" s="97" t="inlineStr">
        <is>
          <t>EKONOMIA+CYWILIZACJE</t>
        </is>
      </c>
      <c r="F18" s="97" t="inlineStr">
        <is>
          <t>sredni</t>
        </is>
      </c>
    </row>
    <row r="19">
      <c r="A19" s="97" t="inlineStr">
        <is>
          <t>Dyplomacja</t>
        </is>
      </c>
      <c r="B19" s="97" t="inlineStr">
        <is>
          <t>Panel relacji</t>
        </is>
      </c>
      <c r="C19" s="111" t="inlineStr">
        <is>
          <t>Tak</t>
        </is>
      </c>
      <c r="D19" s="97" t="inlineStr">
        <is>
          <t>wizualizacja istniejacego Zaufanie+Respekt</t>
        </is>
      </c>
      <c r="E19" s="97" t="inlineStr">
        <is>
          <t>UI</t>
        </is>
      </c>
      <c r="F19" s="97" t="inlineStr">
        <is>
          <t>niski</t>
        </is>
      </c>
    </row>
    <row r="20">
      <c r="A20" s="97" t="inlineStr">
        <is>
          <t>Dyplomacja</t>
        </is>
      </c>
      <c r="B20" s="97" t="inlineStr">
        <is>
          <t>Etykiety statusu relacji (5 tierow)</t>
        </is>
      </c>
      <c r="C20" s="111" t="inlineStr">
        <is>
          <t>Tak</t>
        </is>
      </c>
      <c r="D20" s="97" t="inlineStr">
        <is>
          <t>progi Z+R -&gt; Wrogi..Sojusz</t>
        </is>
      </c>
      <c r="E20" s="97" t="inlineStr">
        <is>
          <t>UI+CYWILIZACJE</t>
        </is>
      </c>
      <c r="F20" s="97" t="inlineStr">
        <is>
          <t>niski</t>
        </is>
      </c>
    </row>
    <row r="21">
      <c r="A21" s="97" t="inlineStr">
        <is>
          <t>Dyplomacja</t>
        </is>
      </c>
      <c r="B21" s="97" t="inlineStr">
        <is>
          <t>Dzialania dyplomatyczne (5 kluczowych)</t>
        </is>
      </c>
      <c r="C21" s="110" t="inlineStr">
        <is>
          <t>Moze</t>
        </is>
      </c>
      <c r="D21" s="97" t="inlineStr">
        <is>
          <t>Pokoj/Handel/Sojusz/Wojna/Zerwij; koszt Wplywy</t>
        </is>
      </c>
      <c r="E21" s="97" t="inlineStr">
        <is>
          <t>CYWILIZACJE</t>
        </is>
      </c>
      <c r="F21" s="97" t="inlineStr">
        <is>
          <t>sredni</t>
        </is>
      </c>
    </row>
    <row r="22">
      <c r="A22" s="97" t="inlineStr">
        <is>
          <t>Dyplomacja</t>
        </is>
      </c>
      <c r="B22" s="97" t="inlineStr">
        <is>
          <t>Wplywy cyw-&gt;cyw (szpiegostwo)</t>
        </is>
      </c>
      <c r="C22" s="109" t="inlineStr">
        <is>
          <t>Nie</t>
        </is>
      </c>
      <c r="D22" s="97" t="inlineStr">
        <is>
          <t>Z+R wystarcza; v0.5+</t>
        </is>
      </c>
      <c r="E22" s="97" t="inlineStr">
        <is>
          <t>-</t>
        </is>
      </c>
      <c r="F22" s="97" t="inlineStr">
        <is>
          <t>-</t>
        </is>
      </c>
    </row>
    <row r="23">
      <c r="A23" s="97" t="inlineStr">
        <is>
          <t>Ustroje</t>
        </is>
      </c>
      <c r="B23" s="97" t="inlineStr">
        <is>
          <t>Ustroje + doktryny (karty polityk)</t>
        </is>
      </c>
      <c r="C23" s="111" t="inlineStr">
        <is>
          <t>Tak</t>
        </is>
      </c>
      <c r="D23" s="97" t="inlineStr">
        <is>
          <t>karty = wiersze danych (warunek+efekt); kryzysowe odlozyc</t>
        </is>
      </c>
      <c r="E23" s="97" t="inlineStr">
        <is>
          <t>CYWILIZACJE/EKONOMIA</t>
        </is>
      </c>
      <c r="F23" s="97" t="inlineStr">
        <is>
          <t>sredni-WYSOKI</t>
        </is>
      </c>
    </row>
    <row r="24">
      <c r="A24" s="97" t="inlineStr">
        <is>
          <t>Ustroje</t>
        </is>
      </c>
      <c r="B24" s="97" t="inlineStr">
        <is>
          <t>Przywodca jako postac</t>
        </is>
      </c>
      <c r="C24" s="110" t="inlineStr">
        <is>
          <t>Moze</t>
        </is>
      </c>
      <c r="D24" s="97" t="inlineStr">
        <is>
          <t>2 cechy tekstowe per cyw (flavor)</t>
        </is>
      </c>
      <c r="E24" s="97" t="inlineStr">
        <is>
          <t>CYWILIZACJE</t>
        </is>
      </c>
      <c r="F24" s="97" t="inlineStr">
        <is>
          <t>niski</t>
        </is>
      </c>
    </row>
    <row r="25">
      <c r="A25" s="97" t="inlineStr">
        <is>
          <t>Ustroje</t>
        </is>
      </c>
      <c r="B25" s="97" t="inlineStr">
        <is>
          <t>Punkty spuscizny + cele per epoka</t>
        </is>
      </c>
      <c r="C25" s="111" t="inlineStr">
        <is>
          <t>Tak</t>
        </is>
      </c>
      <c r="D25" s="97" t="inlineStr">
        <is>
          <t>3 cele/epoka -&gt; bonus startowy do nastepnej; sens epok</t>
        </is>
      </c>
      <c r="E25" s="97" t="inlineStr">
        <is>
          <t>Silnik+CYWILIZACJE</t>
        </is>
      </c>
      <c r="F25" s="97" t="inlineStr">
        <is>
          <t>WYSOKI</t>
        </is>
      </c>
    </row>
    <row r="26">
      <c r="A26" s="97" t="inlineStr">
        <is>
          <t>Ustroje</t>
        </is>
      </c>
      <c r="B26" s="97" t="inlineStr">
        <is>
          <t>Wielcy ludzie (great people)</t>
        </is>
      </c>
      <c r="C26" s="109" t="inlineStr">
        <is>
          <t>Nie</t>
        </is>
      </c>
      <c r="D26" s="97" t="inlineStr">
        <is>
          <t>karty polityk pokrywaja nisze; v0.3</t>
        </is>
      </c>
      <c r="E26" s="97" t="inlineStr">
        <is>
          <t>-</t>
        </is>
      </c>
      <c r="F26" s="97" t="inlineStr">
        <is>
          <t>-</t>
        </is>
      </c>
    </row>
    <row r="27">
      <c r="A27" s="97" t="inlineStr">
        <is>
          <t>Zasoby</t>
        </is>
      </c>
      <c r="B27" s="97" t="inlineStr">
        <is>
          <t>Przyporzadkowanie zasobow do miast</t>
        </is>
      </c>
      <c r="C27" s="111" t="inlineStr">
        <is>
          <t>Tak</t>
        </is>
      </c>
      <c r="D27" s="97" t="inlineStr">
        <is>
          <t>gracz alokuje miedz/konie do miasta dla premii</t>
        </is>
      </c>
      <c r="E27" s="97" t="inlineStr">
        <is>
          <t>MIASTO+UI</t>
        </is>
      </c>
      <c r="F27" s="97" t="inlineStr">
        <is>
          <t>sredni</t>
        </is>
      </c>
    </row>
    <row r="28">
      <c r="A28" s="97" t="inlineStr">
        <is>
          <t>Zasoby</t>
        </is>
      </c>
      <c r="B28" s="97" t="inlineStr">
        <is>
          <t>Szlaki handlowe (kupiec na drogach)</t>
        </is>
      </c>
      <c r="C28" s="111" t="inlineStr">
        <is>
          <t>Tak</t>
        </is>
      </c>
      <c r="D28" s="97" t="inlineStr">
        <is>
          <t>kupiec generuje Pieniadz/ture; handel miedzycyw.</t>
        </is>
      </c>
      <c r="E28" s="97" t="inlineStr">
        <is>
          <t>EKONOMIA+MAPA</t>
        </is>
      </c>
      <c r="F28" s="97" t="inlineStr">
        <is>
          <t>WYSOKI</t>
        </is>
      </c>
    </row>
    <row r="29">
      <c r="A29" s="97" t="inlineStr">
        <is>
          <t>Zasoby</t>
        </is>
      </c>
      <c r="B29" s="97" t="inlineStr">
        <is>
          <t>Kolej (droga poziom 3)</t>
        </is>
      </c>
      <c r="C29" s="110" t="inlineStr">
        <is>
          <t>Moze</t>
        </is>
      </c>
      <c r="D29" s="97" t="inlineStr">
        <is>
          <t>unlock pozniejszej epoki; wyzszy mnoznik</t>
        </is>
      </c>
      <c r="E29" s="97" t="inlineStr">
        <is>
          <t>MAPA/EKONOMIA</t>
        </is>
      </c>
      <c r="F29" s="97" t="inlineStr">
        <is>
          <t>niski(pozno)</t>
        </is>
      </c>
    </row>
    <row r="30">
      <c r="A30" s="97" t="inlineStr">
        <is>
          <t>Zasoby</t>
        </is>
      </c>
      <c r="B30" s="97" t="inlineStr">
        <is>
          <t>Wielkie dziela (great works)</t>
        </is>
      </c>
      <c r="C30" s="109" t="inlineStr">
        <is>
          <t>Nie</t>
        </is>
      </c>
      <c r="D30" s="97" t="inlineStr">
        <is>
          <t>za duzo micro; premie przez budynki+cuda</t>
        </is>
      </c>
      <c r="E30" s="97" t="inlineStr">
        <is>
          <t>-</t>
        </is>
      </c>
      <c r="F30" s="97" t="inlineStr">
        <is>
          <t>-</t>
        </is>
      </c>
    </row>
    <row r="31">
      <c r="A31" s="97" t="inlineStr">
        <is>
          <t>Epoki/Swiat</t>
        </is>
      </c>
      <c r="B31" s="97" t="inlineStr">
        <is>
          <t>Warianty zwyciestwa per epoka i tor</t>
        </is>
      </c>
      <c r="C31" s="111" t="inlineStr">
        <is>
          <t>Tak</t>
        </is>
      </c>
      <c r="D31" s="97" t="inlineStr">
        <is>
          <t>gosp/kult/nauk/wojsk z wariantem per epoka</t>
        </is>
      </c>
      <c r="E31" s="97" t="inlineStr">
        <is>
          <t>CYWILIZACJE/AI+master</t>
        </is>
      </c>
      <c r="F31" s="97" t="inlineStr">
        <is>
          <t>sredni</t>
        </is>
      </c>
    </row>
    <row r="32">
      <c r="A32" s="97" t="inlineStr">
        <is>
          <t>Epoki/Swiat</t>
        </is>
      </c>
      <c r="B32" s="97" t="inlineStr">
        <is>
          <t>Cuda swiata (wonders)</t>
        </is>
      </c>
      <c r="C32" s="111" t="inlineStr">
        <is>
          <t>Tak</t>
        </is>
      </c>
      <c r="D32" s="97" t="inlineStr">
        <is>
          <t>wielkie budowle z unikalna premia; 1 na miasto</t>
        </is>
      </c>
      <c r="E32" s="97" t="inlineStr">
        <is>
          <t>MIASTO+MAPA</t>
        </is>
      </c>
      <c r="F32" s="97" t="inlineStr">
        <is>
          <t>sredni</t>
        </is>
      </c>
    </row>
    <row r="33">
      <c r="A33" s="97" t="inlineStr">
        <is>
          <t>Epoki/Swiat</t>
        </is>
      </c>
      <c r="B33" s="97" t="inlineStr">
        <is>
          <t>Ruiny/obozy na mapie (premie na start)</t>
        </is>
      </c>
      <c r="C33" s="111" t="inlineStr">
        <is>
          <t>Tak</t>
        </is>
      </c>
      <c r="D33" s="97" t="inlineStr">
        <is>
          <t>interaktywne pola -&gt; +kultura/+nauka; QUICK WIN</t>
        </is>
      </c>
      <c r="E33" s="97" t="inlineStr">
        <is>
          <t>MAPA</t>
        </is>
      </c>
      <c r="F33" s="97" t="inlineStr">
        <is>
          <t>WYSOKI(latwe)</t>
        </is>
      </c>
    </row>
    <row r="34">
      <c r="A34" s="97" t="inlineStr">
        <is>
          <t>Epoki/Swiat</t>
        </is>
      </c>
      <c r="B34" s="97" t="inlineStr">
        <is>
          <t>Kleski zywiolowe/katastrofy</t>
        </is>
      </c>
      <c r="C34" s="110" t="inlineStr">
        <is>
          <t>Moze</t>
        </is>
      </c>
      <c r="D34" s="97" t="inlineStr">
        <is>
          <t>system zdarzen mapy; po epoce Zelaza</t>
        </is>
      </c>
      <c r="E34" s="97" t="inlineStr">
        <is>
          <t>MAPA</t>
        </is>
      </c>
      <c r="F34" s="97" t="inlineStr">
        <is>
          <t>niski(pozno)</t>
        </is>
      </c>
    </row>
    <row r="35">
      <c r="A35" s="97" t="inlineStr">
        <is>
          <t>Epoki/Swiat</t>
        </is>
      </c>
      <c r="B35" s="97" t="inlineStr">
        <is>
          <t>Reset cywilizacji per epoka</t>
        </is>
      </c>
      <c r="C35" s="109" t="inlineStr">
        <is>
          <t>Nie</t>
        </is>
      </c>
      <c r="D35" s="97" t="inlineStr">
        <is>
          <t>sprzeczne z naszym modelem 9 stalych typow</t>
        </is>
      </c>
      <c r="E35" s="97" t="inlineStr">
        <is>
          <t>-</t>
        </is>
      </c>
      <c r="F35" s="97" t="inlineStr">
        <is>
          <t>-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2026-06-22T19:16:13Z</dcterms:created>
  <dcterms:modified xmlns:dcterms="http://purl.org/dc/terms/" xmlns:xsi="http://www.w3.org/2001/XMLSchema-instance" xsi:type="dcterms:W3CDTF">2026-06-25T09:12:50Z</dcterms:modified>
  <cp:revision>0</cp:revision>
</cp:coreProperties>
</file>